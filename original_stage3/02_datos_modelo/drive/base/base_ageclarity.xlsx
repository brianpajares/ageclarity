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Tablas_Unidades" sheetId="4" state="visible" r:id="rId4"/>
    <sheet xmlns:r="http://schemas.openxmlformats.org/officeDocument/2006/relationships" name="Tablas_Precios" sheetId="5" state="visible" r:id="rId5"/>
    <sheet xmlns:r="http://schemas.openxmlformats.org/officeDocument/2006/relationships" name="Tablas_Evidencia" sheetId="6" state="visible" r:id="rId6"/>
    <sheet xmlns:r="http://schemas.openxmlformats.org/officeDocument/2006/relationships" name="Motor" sheetId="7" state="visible" r:id="rId7"/>
    <sheet xmlns:r="http://schemas.openxmlformats.org/officeDocument/2006/relationships" name="Casos_Prueba" sheetId="8" state="visible" r:id="rId8"/>
    <sheet xmlns:r="http://schemas.openxmlformats.org/officeDocument/2006/relationships" name="Fuentes" sheetId="9" state="visible" r:id="rId9"/>
    <sheet xmlns:r="http://schemas.openxmlformats.org/officeDocument/2006/relationships" name="Changelog" sheetId="10" state="visible" r:id="rId10"/>
  </sheets>
  <definedNames/>
</workbook>
</file>

<file path=xl/styles.xml><?xml version="1.0" encoding="utf-8"?>
<styleSheet xmlns="http://schemas.openxmlformats.org/spreadsheetml/2006/main">
  <numFmts count="3">
    <numFmt numFmtId="164" formatCode="0.000000000"/>
    <numFmt numFmtId="165" formatCode="0.000000"/>
    <numFmt numFmtId="166" formatCode="0.00000000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7365D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4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166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/>
  </cellStyles>
  <dxfs count="6"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47.5" customWidth="1" min="1" max="1"/>
    <col width="70" customWidth="1" min="2" max="2"/>
  </cols>
  <sheetData>
    <row r="1">
      <c r="A1" s="17" t="inlineStr">
        <is>
          <t>AgeClarity · Base de conocimiento y motor</t>
        </is>
      </c>
      <c r="B1" s="1" t="n"/>
      <c r="C1" s="1" t="n"/>
      <c r="D1" s="1" t="n"/>
      <c r="E1" s="1" t="n"/>
      <c r="F1" s="1" t="n"/>
      <c r="G1" s="15" t="n"/>
      <c r="H1" s="15" t="n"/>
      <c r="I1" s="15" t="n"/>
      <c r="J1" s="15" t="n"/>
      <c r="K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Campo</t>
        </is>
      </c>
      <c r="B3" s="16" t="inlineStr">
        <is>
          <t>Valor</t>
        </is>
      </c>
      <c r="C3" s="16" t="str"/>
      <c r="D3" s="16" t="str"/>
      <c r="E3" s="16" t="str"/>
      <c r="F3" s="16" t="str"/>
      <c r="G3" s="15" t="n"/>
      <c r="H3" s="15" t="n"/>
      <c r="I3" s="15" t="n"/>
      <c r="J3" s="15" t="n"/>
      <c r="K3" s="15" t="n"/>
    </row>
    <row r="4">
      <c r="A4" s="15" t="inlineStr">
        <is>
          <t>Propósito</t>
        </is>
      </c>
      <c r="B4" s="15" t="inlineStr">
        <is>
          <t>Fuente de verdad de parámetros, conversiones, pricing de referencia y caso reproducible del motor</t>
        </is>
      </c>
      <c r="C4" s="15" t="str"/>
      <c r="D4" s="15" t="str"/>
      <c r="E4" s="15" t="str"/>
      <c r="F4" s="15" t="str"/>
      <c r="G4" s="15" t="n"/>
      <c r="H4" s="15" t="n"/>
      <c r="I4" s="15" t="n"/>
      <c r="J4" s="15" t="n"/>
      <c r="K4" s="15" t="n"/>
    </row>
    <row r="5">
      <c r="A5" s="15" t="inlineStr">
        <is>
          <t>Versión</t>
        </is>
      </c>
      <c r="B5" s="15" t="inlineStr">
        <is>
          <t>2.0.0</t>
        </is>
      </c>
      <c r="C5" s="15" t="str"/>
      <c r="D5" s="15" t="str"/>
      <c r="E5" s="15" t="str"/>
      <c r="F5" s="15" t="str"/>
      <c r="G5" s="15" t="n"/>
      <c r="H5" s="15" t="n"/>
      <c r="I5" s="15" t="n"/>
      <c r="J5" s="15" t="n"/>
      <c r="K5" s="15" t="n"/>
    </row>
    <row r="6">
      <c r="A6" s="15" t="inlineStr">
        <is>
          <t>Fecha</t>
        </is>
      </c>
      <c r="B6" s="15" t="inlineStr">
        <is>
          <t>2026-10-13</t>
        </is>
      </c>
      <c r="C6" s="15" t="str"/>
      <c r="D6" s="15" t="str"/>
      <c r="E6" s="15" t="str"/>
      <c r="F6" s="15" t="str"/>
      <c r="G6" s="15" t="n"/>
      <c r="H6" s="15" t="n"/>
      <c r="I6" s="15" t="n"/>
      <c r="J6" s="15" t="n"/>
      <c r="K6" s="15" t="n"/>
    </row>
    <row r="7">
      <c r="A7" s="15" t="inlineStr">
        <is>
          <t>Modelo</t>
        </is>
      </c>
      <c r="B7" s="15" t="inlineStr">
        <is>
          <t>Clinical PhenoAge determinista (Levine/BioAge 2026)</t>
        </is>
      </c>
      <c r="C7" s="15" t="str"/>
      <c r="D7" s="15" t="str"/>
      <c r="E7" s="15" t="str"/>
      <c r="F7" s="15" t="str"/>
      <c r="G7" s="15" t="n"/>
      <c r="H7" s="15" t="n"/>
      <c r="I7" s="15" t="n"/>
      <c r="J7" s="15" t="n"/>
      <c r="K7" s="15" t="n"/>
    </row>
    <row r="8">
      <c r="A8" s="15" t="inlineStr">
        <is>
          <t>Constante canónica</t>
        </is>
      </c>
      <c r="B8" s="15" t="inlineStr">
        <is>
          <t>0.090165; 0.09165 se conserva como escenario histórico de sensibilidad</t>
        </is>
      </c>
      <c r="C8" s="15" t="str"/>
      <c r="D8" s="15" t="str"/>
      <c r="E8" s="15" t="str"/>
      <c r="F8" s="15" t="str"/>
      <c r="G8" s="15" t="n"/>
      <c r="H8" s="15" t="n"/>
      <c r="I8" s="15" t="n"/>
      <c r="J8" s="15" t="n"/>
      <c r="K8" s="15" t="n"/>
    </row>
    <row r="9">
      <c r="A9" s="15" t="inlineStr">
        <is>
          <t>Actualización</t>
        </is>
      </c>
      <c r="B9" s="15" t="inlineStr">
        <is>
          <t>Revisar fuentes en hoja Fuentes; ejecutar ingest/ingest.py para PPP/NHANES de validación; no cambiar coeficientes sin subir versión</t>
        </is>
      </c>
      <c r="C9" s="15" t="str"/>
      <c r="D9" s="15" t="str"/>
      <c r="E9" s="15" t="str"/>
      <c r="F9" s="15" t="str"/>
      <c r="G9" s="15" t="n"/>
      <c r="H9" s="15" t="n"/>
      <c r="I9" s="15" t="n"/>
      <c r="J9" s="15" t="n"/>
      <c r="K9" s="15" t="n"/>
    </row>
    <row r="10">
      <c r="A10" s="15" t="inlineStr">
        <is>
          <t>Privacidad</t>
        </is>
      </c>
      <c r="B10" s="15" t="inlineStr">
        <is>
          <t>No contiene datos personales reales. Los casos de prueba son sintéticos.</t>
        </is>
      </c>
      <c r="C10" s="15" t="str"/>
      <c r="D10" s="15" t="str"/>
      <c r="E10" s="15" t="str"/>
      <c r="F10" s="15" t="str"/>
      <c r="G10" s="15" t="n"/>
      <c r="H10" s="15" t="n"/>
      <c r="I10" s="15" t="n"/>
      <c r="J10" s="15" t="n"/>
      <c r="K10" s="15" t="n"/>
    </row>
    <row r="11">
      <c r="A11" s="15" t="inlineStr">
        <is>
          <t>Estado de datos</t>
        </is>
      </c>
      <c r="B11" s="15" t="inlineStr">
        <is>
          <t>La meta es &gt;=80% de filas verificadas. Pricing propuesto permanece preliminar hasta validación de WTP.</t>
        </is>
      </c>
      <c r="C11" s="15" t="str"/>
      <c r="D11" s="15" t="str"/>
      <c r="E11" s="15" t="str"/>
      <c r="F11" s="15" t="str"/>
      <c r="G11" s="15" t="n"/>
      <c r="H11" s="15" t="n"/>
      <c r="I11" s="15" t="n"/>
      <c r="J11" s="15" t="n"/>
      <c r="K11" s="15" t="n"/>
    </row>
    <row r="12">
      <c r="A12" s="29" t="inlineStr">
        <is>
          <t>Filas verificadas</t>
        </is>
      </c>
      <c r="B12" s="15" t="inlineStr">
        <is>
          <t>63/69 = 91.3%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29" t="inlineStr">
        <is>
          <t>Criterio</t>
        </is>
      </c>
      <c r="B13" s="15" t="inlineStr">
        <is>
          <t>Incluye Parametros, Tablas_Unidades, Tablas_Precios, Tablas_Evidencia, Casos_Prueba y Fuentes; pricing propuesto es preliminar.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6.5" customWidth="1" min="4" max="4"/>
    <col width="8.130000114440918" customWidth="1" min="5" max="5"/>
    <col width="8.5" customWidth="1" min="6" max="6"/>
    <col width="7.880000114440918" customWidth="1" min="7" max="7"/>
  </cols>
  <sheetData>
    <row r="1">
      <c r="A1" s="16" t="inlineStr">
        <is>
          <t>campo</t>
        </is>
      </c>
      <c r="B1" s="16" t="inlineStr">
        <is>
          <t>descripción</t>
        </is>
      </c>
      <c r="C1" s="16" t="inlineStr">
        <is>
          <t>unidad canónica</t>
        </is>
      </c>
      <c r="D1" s="16" t="inlineStr">
        <is>
          <t>tipo</t>
        </is>
      </c>
      <c r="E1" s="16" t="inlineStr">
        <is>
          <t>requerido</t>
        </is>
      </c>
      <c r="F1" s="16" t="inlineStr">
        <is>
          <t>fuente</t>
        </is>
      </c>
      <c r="G1" s="16" t="inlineStr">
        <is>
          <t>estado</t>
        </is>
      </c>
      <c r="H1" s="15" t="n"/>
      <c r="I1" s="15" t="n"/>
      <c r="J1" s="15" t="n"/>
      <c r="K1" s="15" t="n"/>
    </row>
    <row r="2">
      <c r="A2" s="15" t="inlineStr">
        <is>
          <t>age_years</t>
        </is>
      </c>
      <c r="B2" s="15" t="inlineStr">
        <is>
          <t>Edad cronológica</t>
        </is>
      </c>
      <c r="C2" s="15" t="inlineStr">
        <is>
          <t>años</t>
        </is>
      </c>
      <c r="D2" s="15" t="inlineStr">
        <is>
          <t>number</t>
        </is>
      </c>
      <c r="E2" s="15" t="inlineStr">
        <is>
          <t>sí</t>
        </is>
      </c>
      <c r="F2" s="15" t="inlineStr">
        <is>
          <t>S208</t>
        </is>
      </c>
      <c r="G2" s="15" t="inlineStr">
        <is>
          <t>verificado</t>
        </is>
      </c>
      <c r="H2" s="15" t="n"/>
      <c r="I2" s="15" t="n"/>
      <c r="J2" s="15" t="n"/>
      <c r="K2" s="15" t="n"/>
    </row>
    <row r="3">
      <c r="A3" s="15" t="inlineStr">
        <is>
          <t>albumin_gL</t>
        </is>
      </c>
      <c r="B3" s="15" t="inlineStr">
        <is>
          <t>Albúmina sérica</t>
        </is>
      </c>
      <c r="C3" s="15" t="inlineStr">
        <is>
          <t>g/L</t>
        </is>
      </c>
      <c r="D3" s="15" t="inlineStr">
        <is>
          <t>number</t>
        </is>
      </c>
      <c r="E3" s="15" t="inlineStr">
        <is>
          <t>sí</t>
        </is>
      </c>
      <c r="F3" s="15" t="inlineStr">
        <is>
          <t>S206/S207</t>
        </is>
      </c>
      <c r="G3" s="15" t="inlineStr">
        <is>
          <t>verificado</t>
        </is>
      </c>
      <c r="H3" s="15" t="n"/>
      <c r="I3" s="15" t="n"/>
      <c r="J3" s="15" t="n"/>
      <c r="K3" s="15" t="n"/>
    </row>
    <row r="4">
      <c r="A4" s="15" t="inlineStr">
        <is>
          <t>creatinine_umolL</t>
        </is>
      </c>
      <c r="B4" s="15" t="inlineStr">
        <is>
          <t>Creatinina sérica</t>
        </is>
      </c>
      <c r="C4" s="15" t="inlineStr">
        <is>
          <t>µmol/L</t>
        </is>
      </c>
      <c r="D4" s="15" t="inlineStr">
        <is>
          <t>number</t>
        </is>
      </c>
      <c r="E4" s="15" t="inlineStr">
        <is>
          <t>sí</t>
        </is>
      </c>
      <c r="F4" s="15" t="inlineStr">
        <is>
          <t>S206/S207</t>
        </is>
      </c>
      <c r="G4" s="15" t="inlineStr">
        <is>
          <t>verificado</t>
        </is>
      </c>
      <c r="H4" s="15" t="n"/>
      <c r="I4" s="15" t="n"/>
      <c r="J4" s="15" t="n"/>
      <c r="K4" s="15" t="n"/>
    </row>
    <row r="5">
      <c r="A5" s="15" t="inlineStr">
        <is>
          <t>glucose_mmolL</t>
        </is>
      </c>
      <c r="B5" s="15" t="inlineStr">
        <is>
          <t>Glucosa</t>
        </is>
      </c>
      <c r="C5" s="15" t="inlineStr">
        <is>
          <t>mmol/L</t>
        </is>
      </c>
      <c r="D5" s="15" t="inlineStr">
        <is>
          <t>number</t>
        </is>
      </c>
      <c r="E5" s="15" t="inlineStr">
        <is>
          <t>sí</t>
        </is>
      </c>
      <c r="F5" s="15" t="inlineStr">
        <is>
          <t>S206/S207</t>
        </is>
      </c>
      <c r="G5" s="15" t="inlineStr">
        <is>
          <t>verificado</t>
        </is>
      </c>
      <c r="H5" s="15" t="n"/>
      <c r="I5" s="15" t="n"/>
      <c r="J5" s="15" t="n"/>
      <c r="K5" s="15" t="n"/>
    </row>
    <row r="6">
      <c r="A6" s="15" t="inlineStr">
        <is>
          <t>crp_mg_dL</t>
        </is>
      </c>
      <c r="B6" s="15" t="inlineStr">
        <is>
          <t>PCR/hs-CRP</t>
        </is>
      </c>
      <c r="C6" s="15" t="inlineStr">
        <is>
          <t>mg/dL</t>
        </is>
      </c>
      <c r="D6" s="15" t="inlineStr">
        <is>
          <t>number</t>
        </is>
      </c>
      <c r="E6" s="15" t="inlineStr">
        <is>
          <t>sí</t>
        </is>
      </c>
      <c r="F6" s="15" t="inlineStr">
        <is>
          <t>S209/S203</t>
        </is>
      </c>
      <c r="G6" s="15" t="inlineStr">
        <is>
          <t>verificado</t>
        </is>
      </c>
      <c r="H6" s="15" t="n"/>
      <c r="I6" s="15" t="n"/>
      <c r="J6" s="15" t="n"/>
      <c r="K6" s="15" t="n"/>
    </row>
    <row r="7">
      <c r="A7" s="15" t="inlineStr">
        <is>
          <t>lymphocyte_pct</t>
        </is>
      </c>
      <c r="B7" s="15" t="inlineStr">
        <is>
          <t>Linfocitos</t>
        </is>
      </c>
      <c r="C7" s="15" t="inlineStr">
        <is>
          <t>%</t>
        </is>
      </c>
      <c r="D7" s="15" t="inlineStr">
        <is>
          <t>number</t>
        </is>
      </c>
      <c r="E7" s="15" t="inlineStr">
        <is>
          <t>sí</t>
        </is>
      </c>
      <c r="F7" s="15" t="inlineStr">
        <is>
          <t>S208/S203</t>
        </is>
      </c>
      <c r="G7" s="15" t="inlineStr">
        <is>
          <t>verificado</t>
        </is>
      </c>
      <c r="H7" s="15" t="n"/>
      <c r="I7" s="15" t="n"/>
      <c r="J7" s="15" t="n"/>
      <c r="K7" s="15" t="n"/>
    </row>
    <row r="8">
      <c r="A8" s="15" t="inlineStr">
        <is>
          <t>mcv_fL</t>
        </is>
      </c>
      <c r="B8" s="15" t="inlineStr">
        <is>
          <t>VCM / MCV</t>
        </is>
      </c>
      <c r="C8" s="15" t="inlineStr">
        <is>
          <t>fL</t>
        </is>
      </c>
      <c r="D8" s="15" t="inlineStr">
        <is>
          <t>number</t>
        </is>
      </c>
      <c r="E8" s="15" t="inlineStr">
        <is>
          <t>sí</t>
        </is>
      </c>
      <c r="F8" s="15" t="inlineStr">
        <is>
          <t>S208/S203</t>
        </is>
      </c>
      <c r="G8" s="15" t="inlineStr">
        <is>
          <t>verificado</t>
        </is>
      </c>
      <c r="H8" s="15" t="n"/>
      <c r="I8" s="15" t="n"/>
      <c r="J8" s="15" t="n"/>
      <c r="K8" s="15" t="n"/>
    </row>
    <row r="9">
      <c r="A9" s="15" t="inlineStr">
        <is>
          <t>rdw_pct</t>
        </is>
      </c>
      <c r="B9" s="15" t="inlineStr">
        <is>
          <t>ADE / RDW-CV</t>
        </is>
      </c>
      <c r="C9" s="15" t="inlineStr">
        <is>
          <t>%</t>
        </is>
      </c>
      <c r="D9" s="15" t="inlineStr">
        <is>
          <t>number</t>
        </is>
      </c>
      <c r="E9" s="15" t="inlineStr">
        <is>
          <t>sí</t>
        </is>
      </c>
      <c r="F9" s="15" t="inlineStr">
        <is>
          <t>S208/S203</t>
        </is>
      </c>
      <c r="G9" s="15" t="inlineStr">
        <is>
          <t>verificado</t>
        </is>
      </c>
      <c r="H9" s="15" t="n"/>
      <c r="I9" s="15" t="n"/>
      <c r="J9" s="15" t="n"/>
      <c r="K9" s="15" t="n"/>
    </row>
    <row r="10">
      <c r="A10" s="15" t="inlineStr">
        <is>
          <t>alp_UL</t>
        </is>
      </c>
      <c r="B10" s="15" t="inlineStr">
        <is>
          <t>Fosfatasa alcalina</t>
        </is>
      </c>
      <c r="C10" s="15" t="inlineStr">
        <is>
          <t>U/L</t>
        </is>
      </c>
      <c r="D10" s="15" t="inlineStr">
        <is>
          <t>number</t>
        </is>
      </c>
      <c r="E10" s="15" t="inlineStr">
        <is>
          <t>sí</t>
        </is>
      </c>
      <c r="F10" s="15" t="inlineStr">
        <is>
          <t>S208/S203</t>
        </is>
      </c>
      <c r="G10" s="15" t="inlineStr">
        <is>
          <t>verificado</t>
        </is>
      </c>
      <c r="H10" s="15" t="n"/>
      <c r="I10" s="15" t="n"/>
      <c r="J10" s="15" t="n"/>
      <c r="K10" s="15" t="n"/>
    </row>
    <row r="11">
      <c r="A11" s="15" t="inlineStr">
        <is>
          <t>wbc_10e3uL</t>
        </is>
      </c>
      <c r="B11" s="15" t="inlineStr">
        <is>
          <t>Leucocitos</t>
        </is>
      </c>
      <c r="C11" s="15" t="inlineStr">
        <is>
          <t>10^3/µL</t>
        </is>
      </c>
      <c r="D11" s="15" t="inlineStr">
        <is>
          <t>number</t>
        </is>
      </c>
      <c r="E11" s="15" t="inlineStr">
        <is>
          <t>sí</t>
        </is>
      </c>
      <c r="F11" s="15" t="inlineStr">
        <is>
          <t>S208/S203</t>
        </is>
      </c>
      <c r="G11" s="15" t="inlineStr">
        <is>
          <t>verificado</t>
        </is>
      </c>
      <c r="H11" s="15" t="n"/>
      <c r="I11" s="15" t="n"/>
      <c r="J11" s="15" t="n"/>
      <c r="K11" s="15" t="n"/>
    </row>
    <row r="12">
      <c r="A12" s="15" t="inlineStr">
        <is>
          <t>phenoage_years</t>
        </is>
      </c>
      <c r="B12" s="15" t="inlineStr">
        <is>
          <t>Edad fenotípica calculada</t>
        </is>
      </c>
      <c r="C12" s="15" t="inlineStr">
        <is>
          <t>años</t>
        </is>
      </c>
      <c r="D12" s="15" t="inlineStr">
        <is>
          <t>number</t>
        </is>
      </c>
      <c r="E12" s="15" t="inlineStr">
        <is>
          <t>salida</t>
        </is>
      </c>
      <c r="F12" s="15" t="inlineStr">
        <is>
          <t>S203</t>
        </is>
      </c>
      <c r="G12" s="15" t="inlineStr">
        <is>
          <t>verificado</t>
        </is>
      </c>
      <c r="H12" s="15" t="n"/>
      <c r="I12" s="15" t="n"/>
      <c r="J12" s="15" t="n"/>
      <c r="K12" s="15" t="n"/>
    </row>
    <row r="13">
      <c r="A13" s="15" t="inlineStr">
        <is>
          <t>age_gap_years</t>
        </is>
      </c>
      <c r="B13" s="15" t="inlineStr">
        <is>
          <t>PhenoAge - edad</t>
        </is>
      </c>
      <c r="C13" s="15" t="inlineStr">
        <is>
          <t>años</t>
        </is>
      </c>
      <c r="D13" s="15" t="inlineStr">
        <is>
          <t>number</t>
        </is>
      </c>
      <c r="E13" s="15" t="inlineStr">
        <is>
          <t>salida</t>
        </is>
      </c>
      <c r="F13" s="15" t="inlineStr">
        <is>
          <t>derivado</t>
        </is>
      </c>
      <c r="G13" s="15" t="inlineStr">
        <is>
          <t>verificado</t>
        </is>
      </c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42" customWidth="1" min="4" max="4"/>
    <col width="9.130000114440918" customWidth="1" min="5" max="5"/>
    <col width="7.880000114440918" customWidth="1" min="6" max="6"/>
    <col width="22.6299991607666" customWidth="1" min="7" max="7"/>
  </cols>
  <sheetData>
    <row r="1">
      <c r="A1" s="16" t="inlineStr">
        <is>
          <t>parametro</t>
        </is>
      </c>
      <c r="B1" s="16" t="inlineStr">
        <is>
          <t>valor</t>
        </is>
      </c>
      <c r="C1" s="16" t="inlineStr">
        <is>
          <t>unidad</t>
        </is>
      </c>
      <c r="D1" s="16" t="inlineStr">
        <is>
          <t>fuente_url</t>
        </is>
      </c>
      <c r="E1" s="16" t="inlineStr">
        <is>
          <t>fecha</t>
        </is>
      </c>
      <c r="F1" s="16" t="inlineStr">
        <is>
          <t>estado</t>
        </is>
      </c>
      <c r="G1" s="16" t="inlineStr">
        <is>
          <t>nota</t>
        </is>
      </c>
      <c r="H1" s="15" t="n"/>
      <c r="I1" s="15" t="n"/>
      <c r="J1" s="15" t="n"/>
      <c r="K1" s="15" t="n"/>
    </row>
    <row r="2">
      <c r="A2" s="15" t="inlineStr">
        <is>
          <t>intercept</t>
        </is>
      </c>
      <c r="B2" s="39" t="n">
        <v>-19.90667</v>
      </c>
      <c r="C2" s="15" t="inlineStr">
        <is>
          <t>adimensional</t>
        </is>
      </c>
      <c r="D2" s="15" t="inlineStr">
        <is>
          <t>https://github.com/dayoonkwon/BioAge/blob/master/R/phenoage_calc.R</t>
        </is>
      </c>
      <c r="E2" s="15" t="inlineStr">
        <is>
          <t>2026-10-13</t>
        </is>
      </c>
      <c r="F2" s="15" t="inlineStr">
        <is>
          <t>verificado</t>
        </is>
      </c>
      <c r="G2" s="15" t="inlineStr">
        <is>
          <t>intercepto xb</t>
        </is>
      </c>
      <c r="H2" s="15" t="n"/>
      <c r="I2" s="15" t="n"/>
      <c r="J2" s="15" t="n"/>
      <c r="K2" s="15" t="n"/>
    </row>
    <row r="3">
      <c r="A3" s="15" t="inlineStr">
        <is>
          <t>beta_albumin</t>
        </is>
      </c>
      <c r="B3" s="39" t="n">
        <v>-0.03359355</v>
      </c>
      <c r="C3" s="15" t="inlineStr">
        <is>
          <t>por g/L</t>
        </is>
      </c>
      <c r="D3" s="15" t="inlineStr">
        <is>
          <t>https://github.com/dayoonkwon/BioAge/blob/master/R/phenoage_calc.R</t>
        </is>
      </c>
      <c r="E3" s="15" t="inlineStr">
        <is>
          <t>2026-10-13</t>
        </is>
      </c>
      <c r="F3" s="15" t="inlineStr">
        <is>
          <t>verificado</t>
        </is>
      </c>
      <c r="G3" s="15" t="str"/>
      <c r="H3" s="15" t="n"/>
      <c r="I3" s="15" t="n"/>
      <c r="J3" s="15" t="n"/>
      <c r="K3" s="15" t="n"/>
    </row>
    <row r="4">
      <c r="A4" s="15" t="inlineStr">
        <is>
          <t>beta_creatinine</t>
        </is>
      </c>
      <c r="B4" s="39" t="n">
        <v>0.009506491000000001</v>
      </c>
      <c r="C4" s="15" t="inlineStr">
        <is>
          <t>por µmol/L</t>
        </is>
      </c>
      <c r="D4" s="15" t="inlineStr">
        <is>
          <t>https://github.com/dayoonkwon/BioAge/blob/master/R/phenoage_calc.R</t>
        </is>
      </c>
      <c r="E4" s="15" t="inlineStr">
        <is>
          <t>2026-10-13</t>
        </is>
      </c>
      <c r="F4" s="15" t="inlineStr">
        <is>
          <t>verificado</t>
        </is>
      </c>
      <c r="G4" s="15" t="str"/>
      <c r="H4" s="15" t="n"/>
      <c r="I4" s="15" t="n"/>
      <c r="J4" s="15" t="n"/>
      <c r="K4" s="15" t="n"/>
    </row>
    <row r="5">
      <c r="A5" s="15" t="inlineStr">
        <is>
          <t>beta_glucose</t>
        </is>
      </c>
      <c r="B5" s="39" t="n">
        <v>0.1953192</v>
      </c>
      <c r="C5" s="15" t="inlineStr">
        <is>
          <t>por mmol/L</t>
        </is>
      </c>
      <c r="D5" s="15" t="inlineStr">
        <is>
          <t>https://github.com/dayoonkwon/BioAge/blob/master/R/phenoage_calc.R</t>
        </is>
      </c>
      <c r="E5" s="15" t="inlineStr">
        <is>
          <t>2026-10-13</t>
        </is>
      </c>
      <c r="F5" s="15" t="inlineStr">
        <is>
          <t>verificado</t>
        </is>
      </c>
      <c r="G5" s="15" t="str"/>
      <c r="H5" s="15" t="n"/>
      <c r="I5" s="15" t="n"/>
      <c r="J5" s="15" t="n"/>
      <c r="K5" s="15" t="n"/>
    </row>
    <row r="6">
      <c r="A6" s="15" t="inlineStr">
        <is>
          <t>beta_ln_crp</t>
        </is>
      </c>
      <c r="B6" s="39" t="n">
        <v>0.09536762</v>
      </c>
      <c r="C6" s="15" t="inlineStr">
        <is>
          <t>por ln(mg/dL)</t>
        </is>
      </c>
      <c r="D6" s="15" t="inlineStr">
        <is>
          <t>https://github.com/dayoonkwon/BioAge/blob/master/R/phenoage_calc.R</t>
        </is>
      </c>
      <c r="E6" s="15" t="inlineStr">
        <is>
          <t>2026-10-13</t>
        </is>
      </c>
      <c r="F6" s="15" t="inlineStr">
        <is>
          <t>verificado</t>
        </is>
      </c>
      <c r="G6" s="15" t="str"/>
      <c r="H6" s="15" t="n"/>
      <c r="I6" s="15" t="n"/>
      <c r="J6" s="15" t="n"/>
      <c r="K6" s="15" t="n"/>
    </row>
    <row r="7">
      <c r="A7" s="15" t="inlineStr">
        <is>
          <t>beta_lymphocyte</t>
        </is>
      </c>
      <c r="B7" s="39" t="n">
        <v>-0.01199984</v>
      </c>
      <c r="C7" s="15" t="inlineStr">
        <is>
          <t>por %</t>
        </is>
      </c>
      <c r="D7" s="15" t="inlineStr">
        <is>
          <t>https://github.com/dayoonkwon/BioAge/blob/master/R/phenoage_calc.R</t>
        </is>
      </c>
      <c r="E7" s="15" t="inlineStr">
        <is>
          <t>2026-10-13</t>
        </is>
      </c>
      <c r="F7" s="15" t="inlineStr">
        <is>
          <t>verificado</t>
        </is>
      </c>
      <c r="G7" s="15" t="str"/>
      <c r="H7" s="15" t="n"/>
      <c r="I7" s="15" t="n"/>
      <c r="J7" s="15" t="n"/>
      <c r="K7" s="15" t="n"/>
    </row>
    <row r="8">
      <c r="A8" s="15" t="inlineStr">
        <is>
          <t>beta_mcv</t>
        </is>
      </c>
      <c r="B8" s="39" t="n">
        <v>0.02676401</v>
      </c>
      <c r="C8" s="15" t="inlineStr">
        <is>
          <t>por fL</t>
        </is>
      </c>
      <c r="D8" s="15" t="inlineStr">
        <is>
          <t>https://github.com/dayoonkwon/BioAge/blob/master/R/phenoage_calc.R</t>
        </is>
      </c>
      <c r="E8" s="15" t="inlineStr">
        <is>
          <t>2026-10-13</t>
        </is>
      </c>
      <c r="F8" s="15" t="inlineStr">
        <is>
          <t>verificado</t>
        </is>
      </c>
      <c r="G8" s="15" t="str"/>
      <c r="H8" s="15" t="n"/>
      <c r="I8" s="15" t="n"/>
      <c r="J8" s="15" t="n"/>
      <c r="K8" s="15" t="n"/>
    </row>
    <row r="9">
      <c r="A9" s="15" t="inlineStr">
        <is>
          <t>beta_rdw</t>
        </is>
      </c>
      <c r="B9" s="39" t="n">
        <v>0.3306156</v>
      </c>
      <c r="C9" s="15" t="inlineStr">
        <is>
          <t>por %</t>
        </is>
      </c>
      <c r="D9" s="15" t="inlineStr">
        <is>
          <t>https://github.com/dayoonkwon/BioAge/blob/master/R/phenoage_calc.R</t>
        </is>
      </c>
      <c r="E9" s="15" t="inlineStr">
        <is>
          <t>2026-10-13</t>
        </is>
      </c>
      <c r="F9" s="15" t="inlineStr">
        <is>
          <t>verificado</t>
        </is>
      </c>
      <c r="G9" s="15" t="str"/>
      <c r="H9" s="15" t="n"/>
      <c r="I9" s="15" t="n"/>
      <c r="J9" s="15" t="n"/>
      <c r="K9" s="15" t="n"/>
    </row>
    <row r="10">
      <c r="A10" s="15" t="inlineStr">
        <is>
          <t>beta_alp</t>
        </is>
      </c>
      <c r="B10" s="39" t="n">
        <v>0.001868778</v>
      </c>
      <c r="C10" s="15" t="inlineStr">
        <is>
          <t>por U/L</t>
        </is>
      </c>
      <c r="D10" s="15" t="inlineStr">
        <is>
          <t>https://github.com/dayoonkwon/BioAge/blob/master/R/phenoage_calc.R</t>
        </is>
      </c>
      <c r="E10" s="15" t="inlineStr">
        <is>
          <t>2026-10-13</t>
        </is>
      </c>
      <c r="F10" s="15" t="inlineStr">
        <is>
          <t>verificado</t>
        </is>
      </c>
      <c r="G10" s="15" t="str"/>
      <c r="H10" s="15" t="n"/>
      <c r="I10" s="15" t="n"/>
      <c r="J10" s="15" t="n"/>
      <c r="K10" s="15" t="n"/>
    </row>
    <row r="11">
      <c r="A11" s="15" t="inlineStr">
        <is>
          <t>beta_wbc</t>
        </is>
      </c>
      <c r="B11" s="39" t="n">
        <v>0.05542406</v>
      </c>
      <c r="C11" s="15" t="inlineStr">
        <is>
          <t>por 10^3/µL</t>
        </is>
      </c>
      <c r="D11" s="15" t="inlineStr">
        <is>
          <t>https://github.com/dayoonkwon/BioAge/blob/master/R/phenoage_calc.R</t>
        </is>
      </c>
      <c r="E11" s="15" t="inlineStr">
        <is>
          <t>2026-10-13</t>
        </is>
      </c>
      <c r="F11" s="15" t="inlineStr">
        <is>
          <t>verificado</t>
        </is>
      </c>
      <c r="G11" s="15" t="str"/>
      <c r="H11" s="15" t="n"/>
      <c r="I11" s="15" t="n"/>
      <c r="J11" s="15" t="n"/>
      <c r="K11" s="15" t="n"/>
    </row>
    <row r="12">
      <c r="A12" s="15" t="inlineStr">
        <is>
          <t>beta_age</t>
        </is>
      </c>
      <c r="B12" s="39" t="n">
        <v>0.08035356</v>
      </c>
      <c r="C12" s="15" t="inlineStr">
        <is>
          <t>por año</t>
        </is>
      </c>
      <c r="D12" s="15" t="inlineStr">
        <is>
          <t>https://github.com/dayoonkwon/BioAge/blob/master/R/phenoage_calc.R</t>
        </is>
      </c>
      <c r="E12" s="15" t="inlineStr">
        <is>
          <t>2026-10-13</t>
        </is>
      </c>
      <c r="F12" s="15" t="inlineStr">
        <is>
          <t>verificado</t>
        </is>
      </c>
      <c r="G12" s="15" t="str"/>
      <c r="H12" s="15" t="n"/>
      <c r="I12" s="15" t="n"/>
      <c r="J12" s="15" t="n"/>
      <c r="K12" s="15" t="n"/>
    </row>
    <row r="13">
      <c r="A13" s="15" t="inlineStr">
        <is>
          <t>gompertz_num</t>
        </is>
      </c>
      <c r="B13" s="39" t="n">
        <v>-1.51714</v>
      </c>
      <c r="C13" s="15" t="inlineStr">
        <is>
          <t>adimensional</t>
        </is>
      </c>
      <c r="D13" s="15" t="inlineStr">
        <is>
          <t>https://github.com/dayoonkwon/BioAge/blob/master/R/phenoage_calc.R</t>
        </is>
      </c>
      <c r="E13" s="15" t="inlineStr">
        <is>
          <t>2026-10-13</t>
        </is>
      </c>
      <c r="F13" s="15" t="inlineStr">
        <is>
          <t>verificado</t>
        </is>
      </c>
      <c r="G13" s="15" t="str"/>
      <c r="H13" s="15" t="n"/>
      <c r="I13" s="15" t="n"/>
      <c r="J13" s="15" t="n"/>
      <c r="K13" s="15" t="n"/>
    </row>
    <row r="14">
      <c r="A14" s="15" t="inlineStr">
        <is>
          <t>gompertz_den</t>
        </is>
      </c>
      <c r="B14" s="39" t="n">
        <v>0.007692696</v>
      </c>
      <c r="C14" s="15" t="inlineStr">
        <is>
          <t>adimensional</t>
        </is>
      </c>
      <c r="D14" s="15" t="inlineStr">
        <is>
          <t>https://github.com/dayoonkwon/BioAge/blob/master/R/phenoage_calc.R</t>
        </is>
      </c>
      <c r="E14" s="15" t="inlineStr">
        <is>
          <t>2026-10-13</t>
        </is>
      </c>
      <c r="F14" s="15" t="inlineStr">
        <is>
          <t>verificado</t>
        </is>
      </c>
      <c r="G14" s="15" t="str"/>
      <c r="H14" s="15" t="n"/>
      <c r="I14" s="15" t="n"/>
      <c r="J14" s="15" t="n"/>
      <c r="K14" s="15" t="n"/>
    </row>
    <row r="15">
      <c r="A15" s="15" t="inlineStr">
        <is>
          <t>age_transform_scale</t>
        </is>
      </c>
      <c r="B15" s="39" t="n">
        <v>-0.0055305</v>
      </c>
      <c r="C15" s="15" t="inlineStr">
        <is>
          <t>adimensional</t>
        </is>
      </c>
      <c r="D15" s="15" t="inlineStr">
        <is>
          <t>https://github.com/dayoonkwon/BioAge/blob/master/R/phenoage_calc.R</t>
        </is>
      </c>
      <c r="E15" s="15" t="inlineStr">
        <is>
          <t>2026-10-13</t>
        </is>
      </c>
      <c r="F15" s="15" t="inlineStr">
        <is>
          <t>verificado</t>
        </is>
      </c>
      <c r="G15" s="15" t="str"/>
      <c r="H15" s="15" t="n"/>
      <c r="I15" s="15" t="n"/>
      <c r="J15" s="15" t="n"/>
      <c r="K15" s="15" t="n"/>
    </row>
    <row r="16">
      <c r="A16" s="15" t="inlineStr">
        <is>
          <t>age_transform_den</t>
        </is>
      </c>
      <c r="B16" s="39" t="n">
        <v>0.090165</v>
      </c>
      <c r="C16" s="15" t="inlineStr">
        <is>
          <t>adimensional</t>
        </is>
      </c>
      <c r="D16" s="15" t="inlineStr">
        <is>
          <t>https://github.com/dayoonkwon/BioAge/blob/master/R/phenoage_calc.R; https://github.com/dayoonkwon/BioAge/activity</t>
        </is>
      </c>
      <c r="E16" s="15" t="inlineStr">
        <is>
          <t>2026-10-13</t>
        </is>
      </c>
      <c r="F16" s="15" t="inlineStr">
        <is>
          <t>verificado</t>
        </is>
      </c>
      <c r="G16" s="15" t="inlineStr">
        <is>
          <t>canónica 2026</t>
        </is>
      </c>
      <c r="H16" s="15" t="n"/>
      <c r="I16" s="15" t="n"/>
      <c r="J16" s="15" t="n"/>
      <c r="K16" s="15" t="n"/>
    </row>
    <row r="17">
      <c r="A17" s="15" t="inlineStr">
        <is>
          <t>age_transform_intercept</t>
        </is>
      </c>
      <c r="B17" s="39" t="n">
        <v>141.50225</v>
      </c>
      <c r="C17" s="15" t="inlineStr">
        <is>
          <t>años</t>
        </is>
      </c>
      <c r="D17" s="15" t="inlineStr">
        <is>
          <t>https://github.com/dayoonkwon/BioAge/blob/master/R/phenoage_calc.R</t>
        </is>
      </c>
      <c r="E17" s="15" t="inlineStr">
        <is>
          <t>2026-10-13</t>
        </is>
      </c>
      <c r="F17" s="15" t="inlineStr">
        <is>
          <t>verificado</t>
        </is>
      </c>
      <c r="G17" s="15" t="str"/>
      <c r="H17" s="15" t="n"/>
      <c r="I17" s="15" t="n"/>
      <c r="J17" s="15" t="n"/>
      <c r="K17" s="15" t="n"/>
    </row>
    <row r="18">
      <c r="A18" s="15" t="inlineStr">
        <is>
          <t>historical_alt_den</t>
        </is>
      </c>
      <c r="B18" s="39" t="n">
        <v>0.09165</v>
      </c>
      <c r="C18" s="15" t="inlineStr">
        <is>
          <t>adimensional</t>
        </is>
      </c>
      <c r="D18" s="15" t="inlineStr">
        <is>
          <t>https://pmc.ncbi.nlm.nih.gov/articles/PMC6388911/</t>
        </is>
      </c>
      <c r="E18" s="15" t="inlineStr">
        <is>
          <t>2026-10-13</t>
        </is>
      </c>
      <c r="F18" s="15" t="inlineStr">
        <is>
          <t>verificado</t>
        </is>
      </c>
      <c r="G18" s="15" t="inlineStr">
        <is>
          <t>solo escenario de sensibilidad</t>
        </is>
      </c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conditionalFormatting sqref="F2:F18">
    <cfRule type="expression" priority="1" dxfId="0">
      <formula>F2="preliminar"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6.630000114440918" customWidth="1" min="4" max="4"/>
    <col width="15" customWidth="1" min="5" max="5"/>
    <col width="61.25" customWidth="1" min="6" max="6"/>
    <col width="9.130000114440918" customWidth="1" min="7" max="7"/>
    <col width="7.880000114440918" customWidth="1" min="8" max="8"/>
  </cols>
  <sheetData>
    <row r="1">
      <c r="A1" s="16" t="inlineStr">
        <is>
          <t>biomarcador</t>
        </is>
      </c>
      <c r="B1" s="16" t="inlineStr">
        <is>
          <t>unidad_entrada</t>
        </is>
      </c>
      <c r="C1" s="16" t="inlineStr">
        <is>
          <t>unidad_modelo</t>
        </is>
      </c>
      <c r="D1" s="16" t="inlineStr">
        <is>
          <t>factor</t>
        </is>
      </c>
      <c r="E1" s="16" t="inlineStr">
        <is>
          <t>operación</t>
        </is>
      </c>
      <c r="F1" s="16" t="inlineStr">
        <is>
          <t>fuente_url</t>
        </is>
      </c>
      <c r="G1" s="16" t="inlineStr">
        <is>
          <t>fecha</t>
        </is>
      </c>
      <c r="H1" s="16" t="inlineStr">
        <is>
          <t>estado</t>
        </is>
      </c>
      <c r="I1" s="15" t="n"/>
      <c r="J1" s="15" t="n"/>
      <c r="K1" s="15" t="n"/>
    </row>
    <row r="2">
      <c r="A2" s="15" t="inlineStr">
        <is>
          <t>Albúmina</t>
        </is>
      </c>
      <c r="B2" s="15" t="inlineStr">
        <is>
          <t>g/dL</t>
        </is>
      </c>
      <c r="C2" s="15" t="inlineStr">
        <is>
          <t>g/L</t>
        </is>
      </c>
      <c r="D2" s="15" t="n">
        <v>10</v>
      </c>
      <c r="E2" s="15" t="inlineStr">
        <is>
          <t>multiplicar</t>
        </is>
      </c>
      <c r="F2" s="15" t="inlineStr">
        <is>
          <t>https://wwwn.cdc.gov/Nchs/Data/Nhanes/Public/2011/DataFiles/BIOPRO_G.htm</t>
        </is>
      </c>
      <c r="G2" s="15" t="inlineStr">
        <is>
          <t>2026-10-13</t>
        </is>
      </c>
      <c r="H2" s="15" t="inlineStr">
        <is>
          <t>verificado</t>
        </is>
      </c>
      <c r="I2" s="15" t="n"/>
      <c r="J2" s="15" t="n"/>
      <c r="K2" s="15" t="n"/>
    </row>
    <row r="3">
      <c r="A3" s="15" t="inlineStr">
        <is>
          <t>Creatinina</t>
        </is>
      </c>
      <c r="B3" s="15" t="inlineStr">
        <is>
          <t>mg/dL</t>
        </is>
      </c>
      <c r="C3" s="15" t="inlineStr">
        <is>
          <t>µmol/L</t>
        </is>
      </c>
      <c r="D3" s="15" t="n">
        <v>88.40000000000001</v>
      </c>
      <c r="E3" s="15" t="inlineStr">
        <is>
          <t>multiplicar</t>
        </is>
      </c>
      <c r="F3" s="15" t="inlineStr">
        <is>
          <t>https://wwwn.cdc.gov/Nchs/Data/Nhanes/Public/2011/DataFiles/BIOPRO_G.htm</t>
        </is>
      </c>
      <c r="G3" s="15" t="inlineStr">
        <is>
          <t>2026-10-13</t>
        </is>
      </c>
      <c r="H3" s="15" t="inlineStr">
        <is>
          <t>verificado</t>
        </is>
      </c>
      <c r="I3" s="15" t="n"/>
      <c r="J3" s="15" t="n"/>
      <c r="K3" s="15" t="n"/>
    </row>
    <row r="4">
      <c r="A4" s="15" t="inlineStr">
        <is>
          <t>Glucosa</t>
        </is>
      </c>
      <c r="B4" s="15" t="inlineStr">
        <is>
          <t>mg/dL</t>
        </is>
      </c>
      <c r="C4" s="15" t="inlineStr">
        <is>
          <t>mmol/L</t>
        </is>
      </c>
      <c r="D4" s="15" t="n">
        <v>0.05551</v>
      </c>
      <c r="E4" s="15" t="inlineStr">
        <is>
          <t>multiplicar</t>
        </is>
      </c>
      <c r="F4" s="15" t="inlineStr">
        <is>
          <t>https://wwwn.cdc.gov/Nchs/Data/Nhanes/Public/2011/DataFiles/BIOPRO_G.htm</t>
        </is>
      </c>
      <c r="G4" s="15" t="inlineStr">
        <is>
          <t>2026-10-13</t>
        </is>
      </c>
      <c r="H4" s="15" t="inlineStr">
        <is>
          <t>verificado</t>
        </is>
      </c>
      <c r="I4" s="15" t="n"/>
      <c r="J4" s="15" t="n"/>
      <c r="K4" s="15" t="n"/>
    </row>
    <row r="5">
      <c r="A5" s="15" t="inlineStr">
        <is>
          <t>CRP</t>
        </is>
      </c>
      <c r="B5" s="15" t="inlineStr">
        <is>
          <t>mg/L</t>
        </is>
      </c>
      <c r="C5" s="15" t="inlineStr">
        <is>
          <t>mg/dL</t>
        </is>
      </c>
      <c r="D5" s="15" t="n">
        <v>0.1</v>
      </c>
      <c r="E5" s="15" t="inlineStr">
        <is>
          <t>multiplicar</t>
        </is>
      </c>
      <c r="F5" s="15" t="inlineStr">
        <is>
          <t>unidad derivada (1 dL = 0.1 L); S209</t>
        </is>
      </c>
      <c r="G5" s="15" t="inlineStr">
        <is>
          <t>2026-10-13</t>
        </is>
      </c>
      <c r="H5" s="15" t="inlineStr">
        <is>
          <t>verificado</t>
        </is>
      </c>
      <c r="I5" s="15" t="n"/>
      <c r="J5" s="15" t="n"/>
      <c r="K5" s="15" t="n"/>
    </row>
    <row r="6">
      <c r="A6" s="15" t="inlineStr">
        <is>
          <t>WBC</t>
        </is>
      </c>
      <c r="B6" s="15" t="inlineStr">
        <is>
          <t>10^9/L</t>
        </is>
      </c>
      <c r="C6" s="15" t="inlineStr">
        <is>
          <t>10^3/µL</t>
        </is>
      </c>
      <c r="D6" s="15" t="n">
        <v>1</v>
      </c>
      <c r="E6" s="15" t="inlineStr">
        <is>
          <t>identidad numérica</t>
        </is>
      </c>
      <c r="F6" s="15" t="inlineStr">
        <is>
          <t>equivalencia dimensional</t>
        </is>
      </c>
      <c r="G6" s="15" t="inlineStr">
        <is>
          <t>2026-10-13</t>
        </is>
      </c>
      <c r="H6" s="15" t="inlineStr">
        <is>
          <t>verificado</t>
        </is>
      </c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conditionalFormatting sqref="H2:H6">
    <cfRule type="expression" priority="1" dxfId="0">
      <formula>H2="preliminar"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4.75" customWidth="1" min="4" max="4"/>
    <col width="13.5" customWidth="1" min="5" max="5"/>
    <col width="13.63000011444092" customWidth="1" min="6" max="6"/>
    <col width="37.63000106811523" customWidth="1" min="7" max="7"/>
    <col width="9.130000114440918" customWidth="1" min="8" max="8"/>
    <col width="8.25" customWidth="1" min="9" max="9"/>
  </cols>
  <sheetData>
    <row r="1">
      <c r="A1" s="16" t="inlineStr">
        <is>
          <t>país</t>
        </is>
      </c>
      <c r="B1" s="16" t="inlineStr">
        <is>
          <t>código</t>
        </is>
      </c>
      <c r="C1" s="16" t="inlineStr">
        <is>
          <t>moneda</t>
        </is>
      </c>
      <c r="D1" s="16" t="inlineStr">
        <is>
          <t>PPP 2025 LCU/int$</t>
        </is>
      </c>
      <c r="E1" s="16" t="inlineStr">
        <is>
          <t>precio propuesto</t>
        </is>
      </c>
      <c r="F1" s="16" t="inlineStr">
        <is>
          <t>int$ equivalentes</t>
        </is>
      </c>
      <c r="G1" s="16" t="inlineStr">
        <is>
          <t>fuente_url</t>
        </is>
      </c>
      <c r="H1" s="16" t="inlineStr">
        <is>
          <t>fecha</t>
        </is>
      </c>
      <c r="I1" s="16" t="inlineStr">
        <is>
          <t>estado</t>
        </is>
      </c>
      <c r="J1" s="15" t="n"/>
      <c r="K1" s="15" t="n"/>
    </row>
    <row r="2">
      <c r="A2" s="15" t="inlineStr">
        <is>
          <t>España</t>
        </is>
      </c>
      <c r="B2" s="15" t="inlineStr">
        <is>
          <t>ES</t>
        </is>
      </c>
      <c r="C2" s="15" t="inlineStr">
        <is>
          <t>EUR</t>
        </is>
      </c>
      <c r="D2" s="15" t="n">
        <v>0.57</v>
      </c>
      <c r="E2" s="15" t="n">
        <v>11.99</v>
      </c>
      <c r="F2" s="15" t="n">
        <v>21.04</v>
      </c>
      <c r="G2" s="15" t="inlineStr">
        <is>
          <t>https://data.worldbank.org/indicator/PA.NUS.PPP</t>
        </is>
      </c>
      <c r="H2" s="15" t="inlineStr">
        <is>
          <t>2026-10-13</t>
        </is>
      </c>
      <c r="I2" s="15" t="inlineStr">
        <is>
          <t>preliminar</t>
        </is>
      </c>
      <c r="J2" s="15" t="n"/>
      <c r="K2" s="15" t="n"/>
    </row>
    <row r="3">
      <c r="A3" s="15" t="inlineStr">
        <is>
          <t>México</t>
        </is>
      </c>
      <c r="B3" s="15" t="inlineStr">
        <is>
          <t>MX</t>
        </is>
      </c>
      <c r="C3" s="15" t="inlineStr">
        <is>
          <t>MXN</t>
        </is>
      </c>
      <c r="D3" s="15" t="n">
        <v>10.33</v>
      </c>
      <c r="E3" s="15" t="n">
        <v>219</v>
      </c>
      <c r="F3" s="15" t="n">
        <v>21.2</v>
      </c>
      <c r="G3" s="15" t="inlineStr">
        <is>
          <t>https://data.worldbank.org/indicator/PA.NUS.PPP</t>
        </is>
      </c>
      <c r="H3" s="15" t="inlineStr">
        <is>
          <t>2026-10-13</t>
        </is>
      </c>
      <c r="I3" s="15" t="inlineStr">
        <is>
          <t>preliminar</t>
        </is>
      </c>
      <c r="J3" s="15" t="n"/>
      <c r="K3" s="15" t="n"/>
    </row>
    <row r="4">
      <c r="A4" s="15" t="inlineStr">
        <is>
          <t>Brasil</t>
        </is>
      </c>
      <c r="B4" s="15" t="inlineStr">
        <is>
          <t>BR</t>
        </is>
      </c>
      <c r="C4" s="15" t="inlineStr">
        <is>
          <t>BRL</t>
        </is>
      </c>
      <c r="D4" s="15" t="n">
        <v>2.55</v>
      </c>
      <c r="E4" s="15" t="n">
        <v>54.9</v>
      </c>
      <c r="F4" s="15" t="n">
        <v>21.53</v>
      </c>
      <c r="G4" s="15" t="inlineStr">
        <is>
          <t>https://data.worldbank.org/indicator/PA.NUS.PPP</t>
        </is>
      </c>
      <c r="H4" s="15" t="inlineStr">
        <is>
          <t>2026-10-13</t>
        </is>
      </c>
      <c r="I4" s="15" t="inlineStr">
        <is>
          <t>preliminar</t>
        </is>
      </c>
      <c r="J4" s="15" t="n"/>
      <c r="K4" s="15" t="n"/>
    </row>
    <row r="5">
      <c r="A5" s="15" t="inlineStr">
        <is>
          <t>Colombia</t>
        </is>
      </c>
      <c r="B5" s="15" t="inlineStr">
        <is>
          <t>CO</t>
        </is>
      </c>
      <c r="C5" s="15" t="inlineStr">
        <is>
          <t>COP</t>
        </is>
      </c>
      <c r="D5" s="15" t="n">
        <v>1532.72</v>
      </c>
      <c r="E5" s="15" t="n">
        <v>31900</v>
      </c>
      <c r="F5" s="15" t="n">
        <v>20.81</v>
      </c>
      <c r="G5" s="15" t="inlineStr">
        <is>
          <t>https://data.worldbank.org/indicator/PA.NUS.PPP</t>
        </is>
      </c>
      <c r="H5" s="15" t="inlineStr">
        <is>
          <t>2026-10-13</t>
        </is>
      </c>
      <c r="I5" s="15" t="inlineStr">
        <is>
          <t>preliminar</t>
        </is>
      </c>
      <c r="J5" s="15" t="n"/>
      <c r="K5" s="15" t="n"/>
    </row>
    <row r="6">
      <c r="A6" s="15" t="inlineStr">
        <is>
          <t>Perú</t>
        </is>
      </c>
      <c r="B6" s="15" t="inlineStr">
        <is>
          <t>PE</t>
        </is>
      </c>
      <c r="C6" s="15" t="inlineStr">
        <is>
          <t>PEN</t>
        </is>
      </c>
      <c r="D6" s="15" t="n">
        <v>1.84</v>
      </c>
      <c r="E6" s="15" t="n">
        <v>39.9</v>
      </c>
      <c r="F6" s="15" t="n">
        <v>21.68</v>
      </c>
      <c r="G6" s="15" t="inlineStr">
        <is>
          <t>https://data.worldbank.org/indicator/PA.NUS.PPP</t>
        </is>
      </c>
      <c r="H6" s="15" t="inlineStr">
        <is>
          <t>2026-10-13</t>
        </is>
      </c>
      <c r="I6" s="15" t="inlineStr">
        <is>
          <t>preliminar</t>
        </is>
      </c>
      <c r="J6" s="15" t="n"/>
      <c r="K6" s="15" t="n"/>
    </row>
    <row r="7">
      <c r="A7" s="15" t="inlineStr">
        <is>
          <t>Argentina</t>
        </is>
      </c>
      <c r="B7" s="15" t="inlineStr">
        <is>
          <t>AR</t>
        </is>
      </c>
      <c r="C7" s="15" t="inlineStr">
        <is>
          <t>ARS</t>
        </is>
      </c>
      <c r="D7" s="15" t="n">
        <v>567.3</v>
      </c>
      <c r="E7" s="15" t="n">
        <v>11900</v>
      </c>
      <c r="F7" s="15" t="n">
        <v>20.98</v>
      </c>
      <c r="G7" s="15" t="inlineStr">
        <is>
          <t>https://data.worldbank.org/indicator/PA.NUS.PPP</t>
        </is>
      </c>
      <c r="H7" s="15" t="inlineStr">
        <is>
          <t>2026-10-13</t>
        </is>
      </c>
      <c r="I7" s="15" t="inlineStr">
        <is>
          <t>preliminar</t>
        </is>
      </c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conditionalFormatting sqref="I2:I7">
    <cfRule type="expression" priority="1" dxfId="0">
      <formula>I2="preliminar"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0.63000011444092" customWidth="1" min="4" max="4"/>
    <col width="61.5" customWidth="1" min="5" max="5"/>
    <col width="9.130000114440918" customWidth="1" min="6" max="6"/>
    <col width="7.880000114440918" customWidth="1" min="7" max="7"/>
  </cols>
  <sheetData>
    <row r="1">
      <c r="A1" s="16" t="inlineStr">
        <is>
          <t>id</t>
        </is>
      </c>
      <c r="B1" s="16" t="inlineStr">
        <is>
          <t>evidencia</t>
        </is>
      </c>
      <c r="C1" s="16" t="inlineStr">
        <is>
          <t>valor</t>
        </is>
      </c>
      <c r="D1" s="16" t="inlineStr">
        <is>
          <t>unidad</t>
        </is>
      </c>
      <c r="E1" s="16" t="inlineStr">
        <is>
          <t>fuente_url</t>
        </is>
      </c>
      <c r="F1" s="16" t="inlineStr">
        <is>
          <t>fecha</t>
        </is>
      </c>
      <c r="G1" s="16" t="inlineStr">
        <is>
          <t>estado</t>
        </is>
      </c>
      <c r="H1" s="15" t="n"/>
      <c r="I1" s="15" t="n"/>
      <c r="J1" s="15" t="n"/>
      <c r="K1" s="15" t="n"/>
    </row>
    <row r="2">
      <c r="A2" s="15" t="inlineStr">
        <is>
          <t>E01</t>
        </is>
      </c>
      <c r="B2" s="15" t="inlineStr">
        <is>
          <t>HR all-cause por +1 año de Phenotypic Age en muestra completa NHANES IV</t>
        </is>
      </c>
      <c r="C2" s="15" t="n">
        <v>1.09</v>
      </c>
      <c r="D2" s="15" t="inlineStr">
        <is>
          <t>HR</t>
        </is>
      </c>
      <c r="E2" s="15" t="inlineStr">
        <is>
          <t>https://pmc.ncbi.nlm.nih.gov/articles/PMC6312200/</t>
        </is>
      </c>
      <c r="F2" s="15" t="inlineStr">
        <is>
          <t>2018-12-31</t>
        </is>
      </c>
      <c r="G2" s="15" t="inlineStr">
        <is>
          <t>verificado</t>
        </is>
      </c>
      <c r="H2" s="15" t="n"/>
      <c r="I2" s="15" t="n"/>
      <c r="J2" s="15" t="n"/>
      <c r="K2" s="15" t="n"/>
    </row>
    <row r="3">
      <c r="A3" s="15" t="inlineStr">
        <is>
          <t>E02</t>
        </is>
      </c>
      <c r="B3" s="15" t="inlineStr">
        <is>
          <t>Rango edad del análisis publicado</t>
        </is>
      </c>
      <c r="C3" s="15" t="n">
        <v>20</v>
      </c>
      <c r="D3" s="15" t="inlineStr">
        <is>
          <t>mín años</t>
        </is>
      </c>
      <c r="E3" s="15" t="inlineStr">
        <is>
          <t>https://pmc.ncbi.nlm.nih.gov/articles/PMC6312200/</t>
        </is>
      </c>
      <c r="F3" s="15" t="inlineStr">
        <is>
          <t>2018-12-31</t>
        </is>
      </c>
      <c r="G3" s="15" t="inlineStr">
        <is>
          <t>verificado</t>
        </is>
      </c>
      <c r="H3" s="15" t="n"/>
      <c r="I3" s="15" t="n"/>
      <c r="J3" s="15" t="n"/>
      <c r="K3" s="15" t="n"/>
    </row>
    <row r="4">
      <c r="A4" s="15" t="inlineStr">
        <is>
          <t>E03</t>
        </is>
      </c>
      <c r="B4" s="15" t="inlineStr">
        <is>
          <t>Rango edad del análisis publicado</t>
        </is>
      </c>
      <c r="C4" s="15" t="n">
        <v>84</v>
      </c>
      <c r="D4" s="15" t="inlineStr">
        <is>
          <t>máx años</t>
        </is>
      </c>
      <c r="E4" s="15" t="inlineStr">
        <is>
          <t>https://pmc.ncbi.nlm.nih.gov/articles/PMC6312200/</t>
        </is>
      </c>
      <c r="F4" s="15" t="inlineStr">
        <is>
          <t>2018-12-31</t>
        </is>
      </c>
      <c r="G4" s="15" t="inlineStr">
        <is>
          <t>verificado</t>
        </is>
      </c>
      <c r="H4" s="15" t="n"/>
      <c r="I4" s="15" t="n"/>
      <c r="J4" s="15" t="n"/>
      <c r="K4" s="15" t="n"/>
    </row>
    <row r="5">
      <c r="A5" s="15" t="inlineStr">
        <is>
          <t>E04</t>
        </is>
      </c>
      <c r="B5" s="15" t="inlineStr">
        <is>
          <t>Número de adultos analizados en NHANES IV según paper</t>
        </is>
      </c>
      <c r="C5" s="15" t="n">
        <v>11432</v>
      </c>
      <c r="D5" s="15" t="inlineStr">
        <is>
          <t>personas</t>
        </is>
      </c>
      <c r="E5" s="15" t="inlineStr">
        <is>
          <t>https://journals.plos.org/plosmedicine/article?id=10.1371/journal.pmed.1002718</t>
        </is>
      </c>
      <c r="F5" s="15" t="inlineStr">
        <is>
          <t>2018-12-31</t>
        </is>
      </c>
      <c r="G5" s="15" t="inlineStr">
        <is>
          <t>verificado</t>
        </is>
      </c>
      <c r="H5" s="15" t="n"/>
      <c r="I5" s="15" t="n"/>
      <c r="J5" s="15" t="n"/>
      <c r="K5" s="15" t="n"/>
    </row>
    <row r="6">
      <c r="A6" s="15" t="inlineStr">
        <is>
          <t>E05</t>
        </is>
      </c>
      <c r="B6" s="15" t="inlineStr">
        <is>
          <t>LLOD hs-CRP NHANES 2021-2023</t>
        </is>
      </c>
      <c r="C6" s="15" t="n">
        <v>0.15</v>
      </c>
      <c r="D6" s="15" t="inlineStr">
        <is>
          <t>mg/L</t>
        </is>
      </c>
      <c r="E6" s="15" t="inlineStr">
        <is>
          <t>https://wwwn.cdc.gov/Nchs/Data/Nhanes/Public/2021/DataFiles/HSCRP_L.htm</t>
        </is>
      </c>
      <c r="F6" s="15" t="inlineStr">
        <is>
          <t>2024-09-01</t>
        </is>
      </c>
      <c r="G6" s="15" t="inlineStr">
        <is>
          <t>verificado</t>
        </is>
      </c>
      <c r="H6" s="15" t="n"/>
      <c r="I6" s="15" t="n"/>
      <c r="J6" s="15" t="n"/>
      <c r="K6" s="15" t="n"/>
    </row>
    <row r="7">
      <c r="A7" s="15" t="inlineStr">
        <is>
          <t>E06</t>
        </is>
      </c>
      <c r="B7" s="15" t="inlineStr">
        <is>
          <t>Aging.AI MAE reportado para predecir edad cronológica</t>
        </is>
      </c>
      <c r="C7" s="15" t="n">
        <v>5.55</v>
      </c>
      <c r="D7" s="15" t="inlineStr">
        <is>
          <t>años</t>
        </is>
      </c>
      <c r="E7" s="15" t="inlineStr">
        <is>
          <t>https://www.aging-us.com/article/100968/text</t>
        </is>
      </c>
      <c r="F7" s="15" t="inlineStr">
        <is>
          <t>2016-05-18</t>
        </is>
      </c>
      <c r="G7" s="15" t="inlineStr">
        <is>
          <t>verificado</t>
        </is>
      </c>
      <c r="H7" s="15" t="n"/>
      <c r="I7" s="15" t="n"/>
      <c r="J7" s="15" t="n"/>
      <c r="K7" s="15" t="n"/>
    </row>
    <row r="8">
      <c r="A8" s="15" t="inlineStr">
        <is>
          <t>E07</t>
        </is>
      </c>
      <c r="B8" s="15" t="inlineStr">
        <is>
          <t>Aging.AI correlación reportada</t>
        </is>
      </c>
      <c r="C8" s="15" t="n">
        <v>0.91</v>
      </c>
      <c r="D8" s="15" t="inlineStr">
        <is>
          <t>r</t>
        </is>
      </c>
      <c r="E8" s="15" t="inlineStr">
        <is>
          <t>https://www.aging-us.com/article/100968/text</t>
        </is>
      </c>
      <c r="F8" s="15" t="inlineStr">
        <is>
          <t>2016-05-18</t>
        </is>
      </c>
      <c r="G8" s="15" t="inlineStr">
        <is>
          <t>verificado</t>
        </is>
      </c>
      <c r="H8" s="15" t="n"/>
      <c r="I8" s="15" t="n"/>
      <c r="J8" s="15" t="n"/>
      <c r="K8" s="15" t="n"/>
    </row>
    <row r="9">
      <c r="A9" s="15" t="inlineStr">
        <is>
          <t>E08</t>
        </is>
      </c>
      <c r="B9" s="15" t="inlineStr">
        <is>
          <t>Constante BioAge actual</t>
        </is>
      </c>
      <c r="C9" s="15" t="n">
        <v>0.090165</v>
      </c>
      <c r="D9" s="15" t="inlineStr">
        <is>
          <t>denominador</t>
        </is>
      </c>
      <c r="E9" s="15" t="inlineStr">
        <is>
          <t>https://github.com/dayoonkwon/BioAge/blob/master/R/phenoage_calc.R</t>
        </is>
      </c>
      <c r="F9" s="15" t="inlineStr">
        <is>
          <t>2026-10-13</t>
        </is>
      </c>
      <c r="G9" s="15" t="inlineStr">
        <is>
          <t>verificado</t>
        </is>
      </c>
      <c r="H9" s="15" t="n"/>
      <c r="I9" s="15" t="n"/>
      <c r="J9" s="15" t="n"/>
      <c r="K9" s="15" t="n"/>
    </row>
    <row r="10">
      <c r="A10" s="15" t="inlineStr">
        <is>
          <t>E09</t>
        </is>
      </c>
      <c r="B10" s="15" t="inlineStr">
        <is>
          <t>Constante de corrección histórica</t>
        </is>
      </c>
      <c r="C10" s="15" t="n">
        <v>0.09165</v>
      </c>
      <c r="D10" s="15" t="inlineStr">
        <is>
          <t>denominador</t>
        </is>
      </c>
      <c r="E10" s="15" t="inlineStr">
        <is>
          <t>https://pmc.ncbi.nlm.nih.gov/articles/PMC6388911/</t>
        </is>
      </c>
      <c r="F10" s="15" t="inlineStr">
        <is>
          <t>2019-02-25</t>
        </is>
      </c>
      <c r="G10" s="15" t="inlineStr">
        <is>
          <t>verificado</t>
        </is>
      </c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conditionalFormatting sqref="G2:G10">
    <cfRule type="expression" priority="1" dxfId="0">
      <formula>G2="preliminar"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48.88000106811523" customWidth="1" min="1" max="1"/>
    <col width="8.5" customWidth="1" min="2" max="2"/>
    <col width="10.5" customWidth="1" min="3" max="3"/>
    <col width="50" customWidth="1" min="4" max="4"/>
  </cols>
  <sheetData>
    <row r="1">
      <c r="A1" s="17" t="inlineStr">
        <is>
          <t>Motor reproducible · caso ejemplo sintético</t>
        </is>
      </c>
      <c r="B1" s="1" t="n"/>
      <c r="C1" s="1" t="n"/>
      <c r="D1" s="1" t="n"/>
      <c r="E1" s="15" t="n"/>
      <c r="F1" s="15" t="n"/>
      <c r="G1" s="15" t="n"/>
      <c r="H1" s="15" t="n"/>
      <c r="I1" s="15" t="n"/>
      <c r="J1" s="15" t="n"/>
      <c r="K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campo</t>
        </is>
      </c>
      <c r="B3" s="16" t="inlineStr">
        <is>
          <t>valor</t>
        </is>
      </c>
      <c r="C3" s="16" t="inlineStr">
        <is>
          <t>unidad</t>
        </is>
      </c>
      <c r="D3" s="16" t="inlineStr">
        <is>
          <t>nota</t>
        </is>
      </c>
      <c r="E3" s="15" t="n"/>
      <c r="F3" s="15" t="n"/>
      <c r="G3" s="15" t="n"/>
      <c r="H3" s="15" t="n"/>
      <c r="I3" s="15" t="n"/>
      <c r="J3" s="15" t="n"/>
      <c r="K3" s="15" t="n"/>
    </row>
    <row r="4">
      <c r="A4" s="15" t="inlineStr">
        <is>
          <t>age_years</t>
        </is>
      </c>
      <c r="B4" s="15" t="n">
        <v>42</v>
      </c>
      <c r="C4" s="15" t="inlineStr">
        <is>
          <t>años</t>
        </is>
      </c>
      <c r="D4" s="15" t="inlineStr">
        <is>
          <t>input sintético</t>
        </is>
      </c>
      <c r="E4" s="15" t="n"/>
      <c r="F4" s="15" t="n"/>
      <c r="G4" s="15" t="n"/>
      <c r="H4" s="15" t="n"/>
      <c r="I4" s="15" t="n"/>
      <c r="J4" s="15" t="n"/>
      <c r="K4" s="15" t="n"/>
    </row>
    <row r="5">
      <c r="A5" s="15" t="inlineStr">
        <is>
          <t>albumin_gL</t>
        </is>
      </c>
      <c r="B5" s="15" t="n">
        <v>43</v>
      </c>
      <c r="C5" s="15" t="inlineStr">
        <is>
          <t>g/L</t>
        </is>
      </c>
      <c r="D5" s="15" t="inlineStr">
        <is>
          <t>input sintético</t>
        </is>
      </c>
      <c r="E5" s="15" t="n"/>
      <c r="F5" s="15" t="n"/>
      <c r="G5" s="15" t="n"/>
      <c r="H5" s="15" t="n"/>
      <c r="I5" s="15" t="n"/>
      <c r="J5" s="15" t="n"/>
      <c r="K5" s="15" t="n"/>
    </row>
    <row r="6">
      <c r="A6" s="15" t="inlineStr">
        <is>
          <t>creatinine_umolL</t>
        </is>
      </c>
      <c r="B6" s="15" t="n">
        <v>80</v>
      </c>
      <c r="C6" s="15" t="inlineStr">
        <is>
          <t>µmol/L</t>
        </is>
      </c>
      <c r="D6" s="15" t="inlineStr">
        <is>
          <t>input sintético</t>
        </is>
      </c>
      <c r="E6" s="15" t="n"/>
      <c r="F6" s="15" t="n"/>
      <c r="G6" s="15" t="n"/>
      <c r="H6" s="15" t="n"/>
      <c r="I6" s="15" t="n"/>
      <c r="J6" s="15" t="n"/>
      <c r="K6" s="15" t="n"/>
    </row>
    <row r="7">
      <c r="A7" s="15" t="inlineStr">
        <is>
          <t>glucose_mmolL</t>
        </is>
      </c>
      <c r="B7" s="15" t="n">
        <v>5.2</v>
      </c>
      <c r="C7" s="15" t="inlineStr">
        <is>
          <t>mmol/L</t>
        </is>
      </c>
      <c r="D7" s="15" t="inlineStr">
        <is>
          <t>input sintético</t>
        </is>
      </c>
      <c r="E7" s="15" t="n"/>
      <c r="F7" s="15" t="n"/>
      <c r="G7" s="15" t="n"/>
      <c r="H7" s="15" t="n"/>
      <c r="I7" s="15" t="n"/>
      <c r="J7" s="15" t="n"/>
      <c r="K7" s="15" t="n"/>
    </row>
    <row r="8">
      <c r="A8" s="15" t="inlineStr">
        <is>
          <t>crp_mg_dL</t>
        </is>
      </c>
      <c r="B8" s="15" t="n">
        <v>0.1</v>
      </c>
      <c r="C8" s="15" t="inlineStr">
        <is>
          <t>mg/dL</t>
        </is>
      </c>
      <c r="D8" s="15" t="inlineStr">
        <is>
          <t>equivale a 1 mg/L</t>
        </is>
      </c>
      <c r="E8" s="15" t="n"/>
      <c r="F8" s="15" t="n"/>
      <c r="G8" s="15" t="n"/>
      <c r="H8" s="15" t="n"/>
      <c r="I8" s="15" t="n"/>
      <c r="J8" s="15" t="n"/>
      <c r="K8" s="15" t="n"/>
    </row>
    <row r="9">
      <c r="A9" s="15" t="inlineStr">
        <is>
          <t>lymphocyte_pct</t>
        </is>
      </c>
      <c r="B9" s="15" t="n">
        <v>30</v>
      </c>
      <c r="C9" s="15" t="inlineStr">
        <is>
          <t>%</t>
        </is>
      </c>
      <c r="D9" s="15" t="inlineStr">
        <is>
          <t>input sintético</t>
        </is>
      </c>
      <c r="E9" s="15" t="n"/>
      <c r="F9" s="15" t="n"/>
      <c r="G9" s="15" t="n"/>
      <c r="H9" s="15" t="n"/>
      <c r="I9" s="15" t="n"/>
      <c r="J9" s="15" t="n"/>
      <c r="K9" s="15" t="n"/>
    </row>
    <row r="10">
      <c r="A10" s="15" t="inlineStr">
        <is>
          <t>mcv_fL</t>
        </is>
      </c>
      <c r="B10" s="15" t="n">
        <v>90</v>
      </c>
      <c r="C10" s="15" t="inlineStr">
        <is>
          <t>fL</t>
        </is>
      </c>
      <c r="D10" s="15" t="inlineStr">
        <is>
          <t>input sintético</t>
        </is>
      </c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inlineStr">
        <is>
          <t>rdw_pct</t>
        </is>
      </c>
      <c r="B11" s="15" t="n">
        <v>13</v>
      </c>
      <c r="C11" s="15" t="inlineStr">
        <is>
          <t>%</t>
        </is>
      </c>
      <c r="D11" s="15" t="inlineStr">
        <is>
          <t>input sintético</t>
        </is>
      </c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inlineStr">
        <is>
          <t>alp_UL</t>
        </is>
      </c>
      <c r="B12" s="15" t="n">
        <v>70</v>
      </c>
      <c r="C12" s="15" t="inlineStr">
        <is>
          <t>U/L</t>
        </is>
      </c>
      <c r="D12" s="15" t="inlineStr">
        <is>
          <t>input sintético</t>
        </is>
      </c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inlineStr">
        <is>
          <t>wbc_10e3uL</t>
        </is>
      </c>
      <c r="B13" s="15" t="n">
        <v>6</v>
      </c>
      <c r="C13" s="15" t="inlineStr">
        <is>
          <t>10^3/µL</t>
        </is>
      </c>
      <c r="D13" s="15" t="inlineStr">
        <is>
          <t>input sintético</t>
        </is>
      </c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str"/>
      <c r="B14" s="15" t="str"/>
      <c r="C14" s="15" t="str"/>
      <c r="D14" s="15" t="str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inlineStr">
        <is>
          <t>xb</t>
        </is>
      </c>
      <c r="B15" s="40">
        <f>Parametros!$B$2+Parametros!$B$3*$B$5+Parametros!$B$4*$B$6+Parametros!$B$5*$B$7+Parametros!$B$6*LN($B$8)+Parametros!$B$7*$B$9+Parametros!$B$8*$B$10+Parametros!$B$9*$B$11+Parametros!$B$10*$B$12+Parametros!$B$11*$B$13+Parametros!$B$12*$B$4</f>
        <v/>
      </c>
      <c r="C15" s="15" t="inlineStr">
        <is>
          <t>adimensional</t>
        </is>
      </c>
      <c r="D15" s="15" t="inlineStr">
        <is>
          <t>fórmula viva</t>
        </is>
      </c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inlineStr">
        <is>
          <t>M</t>
        </is>
      </c>
      <c r="B16" s="40">
        <f>1-EXP((Parametros!$B$13*EXP(B15))/Parametros!$B$14)</f>
        <v/>
      </c>
      <c r="C16" s="15" t="inlineStr">
        <is>
          <t>0–1</t>
        </is>
      </c>
      <c r="D16" s="15" t="inlineStr">
        <is>
          <t>componente interno 120m; no mostrar como pronóstico individual</t>
        </is>
      </c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inlineStr">
        <is>
          <t>PhenoAge</t>
        </is>
      </c>
      <c r="B17" s="40">
        <f>LN(Parametros!$B$15*LN(1-B16))/Parametros!$B$16+Parametros!$B$17</f>
        <v/>
      </c>
      <c r="C17" s="15" t="inlineStr">
        <is>
          <t>años</t>
        </is>
      </c>
      <c r="D17" s="15" t="inlineStr">
        <is>
          <t>fórmula viva</t>
        </is>
      </c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inlineStr">
        <is>
          <t>Age gap</t>
        </is>
      </c>
      <c r="B18" s="40">
        <f>B17-B4</f>
        <v/>
      </c>
      <c r="C18" s="15" t="inlineStr">
        <is>
          <t>años</t>
        </is>
      </c>
      <c r="D18" s="15" t="inlineStr">
        <is>
          <t>PhenoAge - edad</t>
        </is>
      </c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inlineStr">
        <is>
          <t>Alt 0.09165</t>
        </is>
      </c>
      <c r="B19" s="40">
        <f>LN(Parametros!$B$15*LN(1-B16))/Parametros!$B$18+Parametros!$B$17</f>
        <v/>
      </c>
      <c r="C19" s="15" t="inlineStr">
        <is>
          <t>años</t>
        </is>
      </c>
      <c r="D19" s="15" t="inlineStr">
        <is>
          <t>escenario de sensibilidad histórica</t>
        </is>
      </c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inlineStr">
        <is>
          <t>Delta alt</t>
        </is>
      </c>
      <c r="B20" s="40">
        <f>B19-B17</f>
        <v/>
      </c>
      <c r="C20" s="15" t="inlineStr">
        <is>
          <t>años</t>
        </is>
      </c>
      <c r="D20" s="15" t="inlineStr">
        <is>
          <t>alt - canónico</t>
        </is>
      </c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40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6" t="inlineStr">
        <is>
          <t>Comprobación</t>
        </is>
      </c>
      <c r="B22" s="16" t="inlineStr">
        <is>
          <t>engine_reference.py</t>
        </is>
      </c>
      <c r="C22" s="16" t="inlineStr">
        <is>
          <t>hoja Motor</t>
        </is>
      </c>
      <c r="D22" s="16" t="inlineStr">
        <is>
          <t>diferencia</t>
        </is>
      </c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inlineStr">
        <is>
          <t>PhenoAge T01</t>
        </is>
      </c>
      <c r="B23" s="41" t="n">
        <v>35.88704624531589</v>
      </c>
      <c r="C23" s="41">
        <f>B17</f>
        <v/>
      </c>
      <c r="D23" s="41">
        <f>ABS(B23-C23)</f>
        <v/>
      </c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" customWidth="1" min="1" max="1"/>
    <col width="3.630000114440918" customWidth="1" min="2" max="2"/>
    <col width="9.25" customWidth="1" min="3" max="3"/>
    <col width="65" customWidth="1" min="4" max="4"/>
    <col width="13" customWidth="1" min="5" max="5"/>
    <col width="15.88000011444092" customWidth="1" min="6" max="6"/>
    <col width="11.13000011444092" customWidth="1" min="7" max="7"/>
    <col width="10.38000011444092" customWidth="1" min="8" max="8"/>
    <col width="12.25" customWidth="1" min="9" max="9"/>
    <col width="5.630000114440918" customWidth="1" min="10" max="10"/>
  </cols>
  <sheetData>
    <row r="1">
      <c r="A1" s="16" t="inlineStr">
        <is>
          <t>id</t>
        </is>
      </c>
      <c r="B1" s="16" t="inlineStr">
        <is>
          <t>país</t>
        </is>
      </c>
      <c r="C1" s="16" t="inlineStr">
        <is>
          <t>descripción</t>
        </is>
      </c>
      <c r="D1" s="16" t="inlineStr">
        <is>
          <t>input_json</t>
        </is>
      </c>
      <c r="E1" s="16" t="inlineStr">
        <is>
          <t>expected_status</t>
        </is>
      </c>
      <c r="F1" s="16" t="inlineStr">
        <is>
          <t>expected_phenoage</t>
        </is>
      </c>
      <c r="G1" s="16" t="inlineStr">
        <is>
          <t>expected_gap</t>
        </is>
      </c>
      <c r="H1" s="16" t="inlineStr">
        <is>
          <t>expected_alt</t>
        </is>
      </c>
      <c r="I1" s="16" t="inlineStr">
        <is>
          <t>expected_error</t>
        </is>
      </c>
      <c r="J1" s="16" t="inlineStr">
        <is>
          <t>estado</t>
        </is>
      </c>
      <c r="K1" s="15" t="n"/>
    </row>
    <row r="2">
      <c r="A2" s="15" t="inlineStr">
        <is>
          <t>T01</t>
        </is>
      </c>
      <c r="B2" s="15" t="inlineStr">
        <is>
          <t>MX</t>
        </is>
      </c>
      <c r="C2" s="15" t="inlineStr">
        <is>
          <t>Caso típico SI</t>
        </is>
      </c>
      <c r="D2" s="15" t="inlineStr">
        <is>
          <t>{"age":42,"chemistry":{"albumin":{"value":43,"unit":"g/L"},"creatinine":{"value":80,"unit":"umol/L"},"glucose":{"value":5.2,"unit":"mmol/L"},"alp":{"value":70,"unit":"U/L"}},"inflammation":{"crp":{"value":0.1,"unit":"mg/dL"}},"cbc":{"lymphocyte_pct":30,"mcv":{"value":90,"unit":"fL"},"rdw":{"value":13,"unit":"%"},"wbc":{"value":6,"unit":"10^3/uL"}},"country":"MX"}</t>
        </is>
      </c>
      <c r="E2" s="15" t="inlineStr">
        <is>
          <t>ok</t>
        </is>
      </c>
      <c r="F2" s="40" t="n">
        <v>35.88704624531589</v>
      </c>
      <c r="G2" s="40" t="n">
        <v>-6.112953754684114</v>
      </c>
      <c r="H2" s="40" t="n">
        <v>37.5983236874949</v>
      </c>
      <c r="I2" s="15" t="str"/>
      <c r="J2" s="15" t="inlineStr">
        <is>
          <t>verificado</t>
        </is>
      </c>
      <c r="K2" s="15" t="n"/>
    </row>
    <row r="3">
      <c r="A3" s="15" t="inlineStr">
        <is>
          <t>T02</t>
        </is>
      </c>
      <c r="B3" s="15" t="inlineStr">
        <is>
          <t>MX</t>
        </is>
      </c>
      <c r="C3" s="15" t="inlineStr">
        <is>
          <t>Equivalente T01 en unidades alternas</t>
        </is>
      </c>
      <c r="D3" s="15" t="inlineStr">
        <is>
          <t>{"age":42,"chemistry":{"albumin":{"value":4.3,"unit":"g/dL"},"creatinine":{"value":0.9049773755656108,"unit":"mg/dL"},"glucose":{"value":93.6768149882904,"unit":"mg/dL"},"alp":{"value":70,"unit":"U/L"}},"inflammation":{"crp":{"value":1.0,"unit":"mg/L"}},"cbc":{"lymphocyte_pct":30,"mcv":{"value":90,"unit":"fL"},"rdw":{"value":13,"unit":"%"},"wbc":{"value":6,"unit":"10^9/L"}},"country":"MX"}</t>
        </is>
      </c>
      <c r="E3" s="15" t="inlineStr">
        <is>
          <t>ok</t>
        </is>
      </c>
      <c r="F3" s="40" t="n">
        <v>35.88704624531589</v>
      </c>
      <c r="G3" s="40" t="n">
        <v>-6.112953754684114</v>
      </c>
      <c r="H3" s="40" t="n">
        <v>37.5983236874949</v>
      </c>
      <c r="I3" s="15" t="str"/>
      <c r="J3" s="15" t="inlineStr">
        <is>
          <t>verificado</t>
        </is>
      </c>
      <c r="K3" s="15" t="n"/>
    </row>
    <row r="4">
      <c r="A4" s="15" t="inlineStr">
        <is>
          <t>T03</t>
        </is>
      </c>
      <c r="B4" s="15" t="inlineStr">
        <is>
          <t>ES</t>
        </is>
      </c>
      <c r="C4" s="15" t="inlineStr">
        <is>
          <t>Adulto joven sintético</t>
        </is>
      </c>
      <c r="D4" s="15" t="inlineStr">
        <is>
          <t>{"age":30,"chemistry":{"albumin":{"value":45,"unit":"g/L"},"creatinine":{"value":72,"unit":"umol/L"},"glucose":{"value":4.8,"unit":"mmol/L"},"alp":{"value":62,"unit":"U/L"}},"inflammation":{"crp":{"value":0.06,"unit":"mg/dL"}},"cbc":{"lymphocyte_pct":34,"mcv":{"value":88,"unit":"fL"},"rdw":{"value":12.4,"unit":"%"},"wbc":{"value":5.2,"unit":"10^3/uL"}},"country":"ES"}</t>
        </is>
      </c>
      <c r="E4" s="15" t="inlineStr">
        <is>
          <t>ok</t>
        </is>
      </c>
      <c r="F4" s="40" t="n">
        <v>18.2137598928114</v>
      </c>
      <c r="G4" s="40" t="n">
        <v>-11.7862401071886</v>
      </c>
      <c r="H4" s="40" t="n">
        <v>20.21139663922902</v>
      </c>
      <c r="I4" s="15" t="str"/>
      <c r="J4" s="15" t="inlineStr">
        <is>
          <t>verificado</t>
        </is>
      </c>
      <c r="K4" s="15" t="n"/>
    </row>
    <row r="5">
      <c r="A5" s="15" t="inlineStr">
        <is>
          <t>T04</t>
        </is>
      </c>
      <c r="B5" s="15" t="inlineStr">
        <is>
          <t>BR</t>
        </is>
      </c>
      <c r="C5" s="15" t="inlineStr">
        <is>
          <t>Adulto mayor sintético</t>
        </is>
      </c>
      <c r="D5" s="15" t="inlineStr">
        <is>
          <t>{"age":68,"chemistry":{"albumin":{"value":41,"unit":"g/L"},"creatinine":{"value":96,"unit":"umol/L"},"glucose":{"value":6.1,"unit":"mmol/L"},"alp":{"value":95,"unit":"U/L"}},"inflammation":{"crp":{"value":0.22,"unit":"mg/dL"}},"cbc":{"lymphocyte_pct":25,"mcv":{"value":94,"unit":"fL"},"rdw":{"value":14.1,"unit":"%"},"wbc":{"value":7.4,"unit":"10^3/uL"}},"country":"BR"}</t>
        </is>
      </c>
      <c r="E5" s="15" t="inlineStr">
        <is>
          <t>ok</t>
        </is>
      </c>
      <c r="F5" s="40" t="n">
        <v>71.53845901001858</v>
      </c>
      <c r="G5" s="40" t="n">
        <v>3.538459010018585</v>
      </c>
      <c r="H5" s="40" t="n">
        <v>72.6720785366975</v>
      </c>
      <c r="I5" s="15" t="str"/>
      <c r="J5" s="15" t="inlineStr">
        <is>
          <t>verificado</t>
        </is>
      </c>
      <c r="K5" s="15" t="n"/>
    </row>
    <row r="6">
      <c r="A6" s="15" t="inlineStr">
        <is>
          <t>T05</t>
        </is>
      </c>
      <c r="B6" s="15" t="inlineStr">
        <is>
          <t>CO</t>
        </is>
      </c>
      <c r="C6" s="15" t="inlineStr">
        <is>
          <t>Borde edad mínimo 20</t>
        </is>
      </c>
      <c r="D6" s="15" t="inlineStr">
        <is>
          <t>{"age":20,"chemistry":{"albumin":{"value":44,"unit":"g/L"},"creatinine":{"value":70,"unit":"umol/L"},"glucose":{"value":4.9,"unit":"mmol/L"},"alp":{"value":65,"unit":"U/L"}},"inflammation":{"crp":{"value":0.08,"unit":"mg/dL"}},"cbc":{"lymphocyte_pct":32,"mcv":{"value":89,"unit":"fL"},"rdw":{"value":12.7,"unit":"%"},"wbc":{"value":5.8,"unit":"10^3/uL"}},"country":"CO"}</t>
        </is>
      </c>
      <c r="E6" s="15" t="inlineStr">
        <is>
          <t>ok</t>
        </is>
      </c>
      <c r="F6" s="40" t="n">
        <v>12.07858086066352</v>
      </c>
      <c r="G6" s="40" t="n">
        <v>-7.921419139336479</v>
      </c>
      <c r="H6" s="40" t="n">
        <v>14.17562558157911</v>
      </c>
      <c r="I6" s="15" t="str"/>
      <c r="J6" s="15" t="inlineStr">
        <is>
          <t>verificado</t>
        </is>
      </c>
      <c r="K6" s="15" t="n"/>
    </row>
    <row r="7">
      <c r="A7" s="15" t="inlineStr">
        <is>
          <t>T06</t>
        </is>
      </c>
      <c r="B7" s="15" t="inlineStr">
        <is>
          <t>PE</t>
        </is>
      </c>
      <c r="C7" s="15" t="inlineStr">
        <is>
          <t>Borde edad máximo 84</t>
        </is>
      </c>
      <c r="D7" s="15" t="inlineStr">
        <is>
          <t>{"age":84,"chemistry":{"albumin":{"value":39,"unit":"g/L"},"creatinine":{"value":110,"unit":"umol/L"},"glucose":{"value":6.5,"unit":"mmol/L"},"alp":{"value":110,"unit":"U/L"}},"inflammation":{"crp":{"value":0.3,"unit":"mg/dL"}},"cbc":{"lymphocyte_pct":22,"mcv":{"value":96,"unit":"fL"},"rdw":{"value":14.6,"unit":"%"},"wbc":{"value":8.0,"unit":"10^3/uL"}},"country":"PE"}</t>
        </is>
      </c>
      <c r="E7" s="15" t="inlineStr">
        <is>
          <t>ok</t>
        </is>
      </c>
      <c r="F7" s="40" t="n">
        <v>92.71921426254021</v>
      </c>
      <c r="G7" s="40" t="n">
        <v>8.719214262540206</v>
      </c>
      <c r="H7" s="40" t="n">
        <v>93.50964315583128</v>
      </c>
      <c r="I7" s="15" t="str"/>
      <c r="J7" s="15" t="inlineStr">
        <is>
          <t>verificado</t>
        </is>
      </c>
      <c r="K7" s="15" t="n"/>
    </row>
    <row r="8">
      <c r="A8" s="15" t="inlineStr">
        <is>
          <t>T07</t>
        </is>
      </c>
      <c r="B8" s="15" t="inlineStr">
        <is>
          <t>AR</t>
        </is>
      </c>
      <c r="C8" s="15" t="inlineStr">
        <is>
          <t>CRP cercana al LLOD NHANES 0.15 mg/L</t>
        </is>
      </c>
      <c r="D8" s="15" t="inlineStr">
        <is>
          <t>{"age":50,"chemistry":{"albumin":{"value":42,"unit":"g/L"},"creatinine":{"value":85,"unit":"umol/L"},"glucose":{"value":5.4,"unit":"mmol/L"},"alp":{"value":75,"unit":"U/L"}},"inflammation":{"crp":{"value":0.15,"unit":"mg/L"}},"cbc":{"lymphocyte_pct":29,"mcv":{"value":91,"unit":"fL"},"rdw":{"value":13.2,"unit":"%"},"wbc":{"value":6.3,"unit":"10^3/uL"}},"country":"AR"}</t>
        </is>
      </c>
      <c r="E8" s="15" t="inlineStr">
        <is>
          <t>ok</t>
        </is>
      </c>
      <c r="F8" s="40" t="n">
        <v>43.79424510503968</v>
      </c>
      <c r="G8" s="40" t="n">
        <v>-6.205754894960322</v>
      </c>
      <c r="H8" s="40" t="n">
        <v>45.37740263116096</v>
      </c>
      <c r="I8" s="15" t="str"/>
      <c r="J8" s="15" t="inlineStr">
        <is>
          <t>verificado</t>
        </is>
      </c>
      <c r="K8" s="15" t="n"/>
    </row>
    <row r="9">
      <c r="A9" s="15" t="inlineStr">
        <is>
          <t>T08</t>
        </is>
      </c>
      <c r="B9" s="15" t="inlineStr">
        <is>
          <t>ES</t>
        </is>
      </c>
      <c r="C9" s="15" t="inlineStr">
        <is>
          <t>CRP 3 mg/L vía conversión</t>
        </is>
      </c>
      <c r="D9" s="15" t="inlineStr">
        <is>
          <t>{"age":55,"chemistry":{"albumin":{"value":40,"unit":"g/L"},"creatinine":{"value":90,"unit":"umol/L"},"glucose":{"value":5.6,"unit":"mmol/L"},"alp":{"value":80,"unit":"U/L"}},"inflammation":{"crp":{"value":3.0,"unit":"mg/L"}},"cbc":{"lymphocyte_pct":27,"mcv":{"value":92,"unit":"fL"},"rdw":{"value":13.5,"unit":"%"},"wbc":{"value":6.8,"unit":"10^3/uL"}},"country":"ES"}</t>
        </is>
      </c>
      <c r="E9" s="15" t="inlineStr">
        <is>
          <t>ok</t>
        </is>
      </c>
      <c r="F9" s="40" t="n">
        <v>55.19835248690664</v>
      </c>
      <c r="G9" s="40" t="n">
        <v>0.1983524869066429</v>
      </c>
      <c r="H9" s="40" t="n">
        <v>56.59672987705333</v>
      </c>
      <c r="I9" s="15" t="str"/>
      <c r="J9" s="15" t="inlineStr">
        <is>
          <t>verificado</t>
        </is>
      </c>
      <c r="K9" s="15" t="n"/>
    </row>
    <row r="10">
      <c r="A10" s="15" t="inlineStr">
        <is>
          <t>T09</t>
        </is>
      </c>
      <c r="B10" s="15" t="inlineStr">
        <is>
          <t>MX</t>
        </is>
      </c>
      <c r="C10" s="15" t="inlineStr">
        <is>
          <t>Creatinina en mg/dL</t>
        </is>
      </c>
      <c r="D10" s="15" t="inlineStr">
        <is>
          <t>{"age":45,"chemistry":{"albumin":{"value":42,"unit":"g/L"},"creatinine":{"value":1.1,"unit":"mg/dL"},"glucose":{"value":5.0,"unit":"mmol/L"},"alp":{"value":72,"unit":"U/L"}},"inflammation":{"crp":{"value":0.12,"unit":"mg/dL"}},"cbc":{"lymphocyte_pct":31,"mcv":{"value":89,"unit":"fL"},"rdw":{"value":13.0,"unit":"%"},"wbc":{"value":6.1,"unit":"10^3/uL"}},"country":"MX"}</t>
        </is>
      </c>
      <c r="E10" s="15" t="inlineStr">
        <is>
          <t>ok</t>
        </is>
      </c>
      <c r="F10" s="40" t="n">
        <v>40.18345815443953</v>
      </c>
      <c r="G10" s="40" t="n">
        <v>-4.816541845560465</v>
      </c>
      <c r="H10" s="40" t="n">
        <v>41.82512106650344</v>
      </c>
      <c r="I10" s="15" t="str"/>
      <c r="J10" s="15" t="inlineStr">
        <is>
          <t>verificado</t>
        </is>
      </c>
      <c r="K10" s="15" t="n"/>
    </row>
    <row r="11">
      <c r="A11" s="15" t="inlineStr">
        <is>
          <t>T10</t>
        </is>
      </c>
      <c r="B11" s="15" t="inlineStr">
        <is>
          <t>BR</t>
        </is>
      </c>
      <c r="C11" s="15" t="inlineStr">
        <is>
          <t>Glucosa en mg/dL</t>
        </is>
      </c>
      <c r="D11" s="15" t="inlineStr">
        <is>
          <t>{"age":47,"chemistry":{"albumin":{"value":43,"unit":"g/L"},"creatinine":{"value":82,"unit":"umol/L"},"glucose":{"value":100,"unit":"mg/dL"},"alp":{"value":68,"unit":"U/L"}},"inflammation":{"crp":{"value":0.1,"unit":"mg/dL"}},"cbc":{"lymphocyte_pct":30,"mcv":{"value":90,"unit":"fL"},"rdw":{"value":12.9,"unit":"%"},"wbc":{"value":5.9,"unit":"10^3/uL"}},"country":"BR"}</t>
        </is>
      </c>
      <c r="E11" s="15" t="inlineStr">
        <is>
          <t>ok</t>
        </is>
      </c>
      <c r="F11" s="40" t="n">
        <v>40.84458297464546</v>
      </c>
      <c r="G11" s="40" t="n">
        <v>-6.155417025354538</v>
      </c>
      <c r="H11" s="40" t="n">
        <v>42.4755337169548</v>
      </c>
      <c r="I11" s="15" t="str"/>
      <c r="J11" s="15" t="inlineStr">
        <is>
          <t>verificado</t>
        </is>
      </c>
      <c r="K11" s="15" t="n"/>
    </row>
    <row r="12">
      <c r="A12" s="15" t="inlineStr">
        <is>
          <t>T11</t>
        </is>
      </c>
      <c r="B12" s="15" t="inlineStr">
        <is>
          <t>CO</t>
        </is>
      </c>
      <c r="C12" s="15" t="inlineStr">
        <is>
          <t>Albúmina en g/dL</t>
        </is>
      </c>
      <c r="D12" s="15" t="inlineStr">
        <is>
          <t>{"age":52,"chemistry":{"albumin":{"value":4.1,"unit":"g/dL"},"creatinine":{"value":88,"unit":"umol/L"},"glucose":{"value":5.3,"unit":"mmol/L"},"alp":{"value":78,"unit":"U/L"}},"inflammation":{"crp":{"value":0.14,"unit":"mg/dL"}},"cbc":{"lymphocyte_pct":28,"mcv":{"value":91,"unit":"fL"},"rdw":{"value":13.3,"unit":"%"},"wbc":{"value":6.5,"unit":"10^3/uL"}},"country":"CO"}</t>
        </is>
      </c>
      <c r="E12" s="15" t="inlineStr">
        <is>
          <t>ok</t>
        </is>
      </c>
      <c r="F12" s="40" t="n">
        <v>49.09622639728879</v>
      </c>
      <c r="G12" s="40" t="n">
        <v>-2.903773602711212</v>
      </c>
      <c r="H12" s="40" t="n">
        <v>50.59347620689083</v>
      </c>
      <c r="I12" s="15" t="str"/>
      <c r="J12" s="15" t="inlineStr">
        <is>
          <t>verificado</t>
        </is>
      </c>
      <c r="K12" s="15" t="n"/>
    </row>
    <row r="13">
      <c r="A13" s="15" t="inlineStr">
        <is>
          <t>T12</t>
        </is>
      </c>
      <c r="B13" s="15" t="inlineStr">
        <is>
          <t>PE</t>
        </is>
      </c>
      <c r="C13" s="15" t="inlineStr">
        <is>
          <t>WBC en 10^9/L</t>
        </is>
      </c>
      <c r="D13" s="15" t="inlineStr">
        <is>
          <t>{"age":39,"chemistry":{"albumin":{"value":44,"unit":"g/L"},"creatinine":{"value":76,"unit":"umol/L"},"glucose":{"value":4.7,"unit":"mmol/L"},"alp":{"value":60,"unit":"U/L"}},"inflammation":{"crp":{"value":0.07,"unit":"mg/dL"}},"cbc":{"lymphocyte_pct":35,"mcv":{"value":87,"unit":"fL"},"rdw":{"value":12.5,"unit":"%"},"wbc":{"value":5.0,"unit":"10^9/L"}},"country":"PE"}</t>
        </is>
      </c>
      <c r="E13" s="15" t="inlineStr">
        <is>
          <t>ok</t>
        </is>
      </c>
      <c r="F13" s="40" t="n">
        <v>26.74751422605051</v>
      </c>
      <c r="G13" s="40" t="n">
        <v>-12.25248577394949</v>
      </c>
      <c r="H13" s="40" t="n">
        <v>28.60687901191319</v>
      </c>
      <c r="I13" s="15" t="str"/>
      <c r="J13" s="15" t="inlineStr">
        <is>
          <t>verificado</t>
        </is>
      </c>
      <c r="K13" s="15" t="n"/>
    </row>
    <row r="14">
      <c r="A14" s="15" t="inlineStr">
        <is>
          <t>T13</t>
        </is>
      </c>
      <c r="B14" s="15" t="inlineStr">
        <is>
          <t>AR</t>
        </is>
      </c>
      <c r="C14" s="15" t="inlineStr">
        <is>
          <t>Todas las unidades alternativas compatibles</t>
        </is>
      </c>
      <c r="D14" s="15" t="inlineStr">
        <is>
          <t>{"age":60,"chemistry":{"albumin":{"value":4.0,"unit":"g/dL"},"creatinine":{"value":1.2,"unit":"mg/dL"},"glucose":{"value":110,"unit":"mg/dL"},"alp":{"value":100,"unit":"U/L"}},"inflammation":{"crp":{"value":2.5,"unit":"mg/L"}},"cbc":{"lymphocyte_pct":24,"mcv":{"value":95,"unit":"fL"},"rdw":{"value":14.0,"unit":"%"},"wbc":{"value":7.2,"unit":"10^9/L"}},"country":"AR"}</t>
        </is>
      </c>
      <c r="E14" s="15" t="inlineStr">
        <is>
          <t>ok</t>
        </is>
      </c>
      <c r="F14" s="40" t="n">
        <v>66.03670643193925</v>
      </c>
      <c r="G14" s="40" t="n">
        <v>6.036706431939251</v>
      </c>
      <c r="H14" s="40" t="n">
        <v>67.25947055849211</v>
      </c>
      <c r="I14" s="15" t="str"/>
      <c r="J14" s="15" t="inlineStr">
        <is>
          <t>verificado</t>
        </is>
      </c>
      <c r="K14" s="15" t="n"/>
    </row>
    <row r="15">
      <c r="A15" s="15" t="inlineStr">
        <is>
          <t>T14</t>
        </is>
      </c>
      <c r="B15" s="15" t="inlineStr">
        <is>
          <t>MX</t>
        </is>
      </c>
      <c r="C15" s="15" t="inlineStr">
        <is>
          <t>Perfil sintético de valores relativamente altos</t>
        </is>
      </c>
      <c r="D15" s="15" t="inlineStr">
        <is>
          <t>{"age":60,"chemistry":{"albumin":{"value":35,"unit":"g/L"},"creatinine":{"value":150,"unit":"umol/L"},"glucose":{"value":9.0,"unit":"mmol/L"},"alp":{"value":180,"unit":"U/L"}},"inflammation":{"crp":{"value":1.0,"unit":"mg/dL"}},"cbc":{"lymphocyte_pct":18,"mcv":{"value":100,"unit":"fL"},"rdw":{"value":16.0,"unit":"%"},"wbc":{"value":12.0,"unit":"10^3/uL"}},"country":"MX"}</t>
        </is>
      </c>
      <c r="E15" s="15" t="inlineStr">
        <is>
          <t>ok</t>
        </is>
      </c>
      <c r="F15" s="40" t="n">
        <v>94.4903489699465</v>
      </c>
      <c r="G15" s="40" t="n">
        <v>34.4903489699465</v>
      </c>
      <c r="H15" s="40" t="n">
        <v>95.25208026323214</v>
      </c>
      <c r="I15" s="15" t="str"/>
      <c r="J15" s="15" t="inlineStr">
        <is>
          <t>verificado</t>
        </is>
      </c>
      <c r="K15" s="15" t="n"/>
    </row>
    <row r="16">
      <c r="A16" s="15" t="inlineStr">
        <is>
          <t>T15</t>
        </is>
      </c>
      <c r="B16" s="15" t="inlineStr">
        <is>
          <t>ES</t>
        </is>
      </c>
      <c r="C16" s="15" t="inlineStr">
        <is>
          <t>Perfil sintético de valores relativamente bajos</t>
        </is>
      </c>
      <c r="D16" s="15" t="inlineStr">
        <is>
          <t>{"age":35,"chemistry":{"albumin":{"value":50,"unit":"g/L"},"creatinine":{"value":50,"unit":"umol/L"},"glucose":{"value":3.5,"unit":"mmol/L"},"alp":{"value":35,"unit":"U/L"}},"inflammation":{"crp":{"value":0.02,"unit":"mg/dL"}},"cbc":{"lymphocyte_pct":45,"mcv":{"value":78,"unit":"fL"},"rdw":{"value":11.5,"unit":"%"},"wbc":{"value":3.5,"unit":"10^3/uL"}},"country":"ES"}</t>
        </is>
      </c>
      <c r="E16" s="15" t="inlineStr">
        <is>
          <t>ok</t>
        </is>
      </c>
      <c r="F16" s="40" t="n">
        <v>5.172113585784672</v>
      </c>
      <c r="G16" s="40" t="n">
        <v>-29.82788641421533</v>
      </c>
      <c r="H16" s="40" t="n">
        <v>7.381063422938098</v>
      </c>
      <c r="I16" s="15" t="str"/>
      <c r="J16" s="15" t="inlineStr">
        <is>
          <t>verificado</t>
        </is>
      </c>
      <c r="K16" s="15" t="n"/>
    </row>
    <row r="17">
      <c r="A17" s="15" t="inlineStr">
        <is>
          <t>T16</t>
        </is>
      </c>
      <c r="B17" s="15" t="inlineStr">
        <is>
          <t>BR</t>
        </is>
      </c>
      <c r="C17" s="15" t="inlineStr">
        <is>
          <t>Inválido: CRP = 0</t>
        </is>
      </c>
      <c r="D17" s="15" t="inlineStr">
        <is>
          <t>{"age":44,"chemistry":{"albumin":{"value":42,"unit":"g/L"},"creatinine":{"value":80,"unit":"umol/L"},"glucose":{"value":5.2,"unit":"mmol/L"},"alp":{"value":70,"unit":"U/L"}},"inflammation":{"crp":{"value":0,"unit":"mg/dL"}},"cbc":{"lymphocyte_pct":30,"mcv":{"value":90,"unit":"fL"},"rdw":{"value":13,"unit":"%"},"wbc":{"value":6,"unit":"10^3/uL"}},"country":"BR"}</t>
        </is>
      </c>
      <c r="E17" s="15" t="inlineStr">
        <is>
          <t>error</t>
        </is>
      </c>
      <c r="F17" s="40" t="n"/>
      <c r="G17" s="40" t="n"/>
      <c r="H17" s="40" t="n"/>
      <c r="I17" s="15" t="inlineStr">
        <is>
          <t>ValueError: crp must be finite and &gt; 0</t>
        </is>
      </c>
      <c r="J17" s="15" t="inlineStr">
        <is>
          <t>verificado</t>
        </is>
      </c>
      <c r="K17" s="15" t="n"/>
    </row>
    <row r="18">
      <c r="A18" s="15" t="inlineStr">
        <is>
          <t>T17</t>
        </is>
      </c>
      <c r="B18" s="15" t="inlineStr">
        <is>
          <t>CO</t>
        </is>
      </c>
      <c r="C18" s="15" t="inlineStr">
        <is>
          <t>Inválido: edad 19</t>
        </is>
      </c>
      <c r="D18" s="15" t="inlineStr">
        <is>
          <t>{"age":19,"chemistry":{"albumin":{"value":42,"unit":"g/L"},"creatinine":{"value":80,"unit":"umol/L"},"glucose":{"value":5.2,"unit":"mmol/L"},"alp":{"value":70,"unit":"U/L"}},"inflammation":{"crp":{"value":0.1,"unit":"mg/dL"}},"cbc":{"lymphocyte_pct":30,"mcv":{"value":90,"unit":"fL"},"rdw":{"value":13,"unit":"%"},"wbc":{"value":6,"unit":"10^3/uL"}},"country":"CO"}</t>
        </is>
      </c>
      <c r="E18" s="15" t="inlineStr">
        <is>
          <t>error</t>
        </is>
      </c>
      <c r="F18" s="40" t="n"/>
      <c r="G18" s="40" t="n"/>
      <c r="H18" s="40" t="n"/>
      <c r="I18" s="15" t="inlineStr">
        <is>
          <t>ValueError: age must be between 20 and 84 years</t>
        </is>
      </c>
      <c r="J18" s="15" t="inlineStr">
        <is>
          <t>verificado</t>
        </is>
      </c>
      <c r="K18" s="15" t="n"/>
    </row>
    <row r="19">
      <c r="A19" s="15" t="inlineStr">
        <is>
          <t>T18</t>
        </is>
      </c>
      <c r="B19" s="15" t="inlineStr">
        <is>
          <t>PE</t>
        </is>
      </c>
      <c r="C19" s="15" t="inlineStr">
        <is>
          <t>Inválido: RDW faltante</t>
        </is>
      </c>
      <c r="D19" s="15" t="inlineStr">
        <is>
          <t>{"age":48,"chemistry":{"albumin":{"value":42,"unit":"g/L"},"creatinine":{"value":85,"unit":"umol/L"},"glucose":{"value":5.4,"unit":"mmol/L"},"alp":{"value":75,"unit":"U/L"}},"inflammation":{"crp":{"value":0.12,"unit":"mg/dL"}},"cbc":{"lymphocyte_pct":30,"mcv":{"value":90,"unit":"fL"},"wbc":{"value":6.3,"unit":"10^3/uL"}},"country":"PE"}</t>
        </is>
      </c>
      <c r="E19" s="15" t="inlineStr">
        <is>
          <t>error</t>
        </is>
      </c>
      <c r="F19" s="40" t="n"/>
      <c r="G19" s="40" t="n"/>
      <c r="H19" s="40" t="n"/>
      <c r="I19" s="15" t="inlineStr">
        <is>
          <t>KeyError: 'rdw'</t>
        </is>
      </c>
      <c r="J19" s="15" t="inlineStr">
        <is>
          <t>verificado</t>
        </is>
      </c>
      <c r="K19" s="15" t="n"/>
    </row>
    <row r="20">
      <c r="A20" s="15" t="inlineStr">
        <is>
          <t>T19</t>
        </is>
      </c>
      <c r="B20" s="15" t="inlineStr">
        <is>
          <t>MX</t>
        </is>
      </c>
      <c r="C20" s="15" t="inlineStr">
        <is>
          <t>NaN glucose</t>
        </is>
      </c>
      <c r="D20" s="15" t="inlineStr">
        <is>
          <t>{"age": 42, "chemistry": {"albumin": {"value": 43, "unit": "g/L"}, "creatinine": {"value": 80, "unit": "umol/L"}, "glucose": {"value": "NaN", "unit": "mmol/L"}, "alp": {"value": 70, "unit": "U/L"}}, "inflammation": {"crp": {"value": 0.1, "unit": "mg/dL"}}, "cbc": {"lymphocyte_pct": 30, "mcv": {"value": 90, "unit": "fL"}, "rdw": {"value": 13, "unit": "%"}, "wbc": {"value": 6, "unit": "10^3/uL"}}, "country": "MX"}</t>
        </is>
      </c>
      <c r="E20" s="15" t="inlineStr">
        <is>
          <t>error</t>
        </is>
      </c>
      <c r="F20" s="15" t="n"/>
      <c r="G20" s="15" t="n"/>
      <c r="H20" s="15" t="n"/>
      <c r="I20" s="15" t="n"/>
      <c r="J20" s="15" t="n"/>
      <c r="K20" s="15" t="n"/>
    </row>
    <row r="21">
      <c r="A21" s="15" t="inlineStr">
        <is>
          <t>T20</t>
        </is>
      </c>
      <c r="B21" s="15" t="inlineStr">
        <is>
          <t>MX</t>
        </is>
      </c>
      <c r="C21" s="15" t="inlineStr">
        <is>
          <t>Infinite CRP</t>
        </is>
      </c>
      <c r="D21" s="15" t="inlineStr">
        <is>
          <t>{"age": 42, "chemistry": {"albumin": {"value": 43, "unit": "g/L"}, "creatinine": {"value": 80, "unit": "umol/L"}, "glucose": {"value": 5.2, "unit": "mmol/L"}, "alp": {"value": 70, "unit": "U/L"}}, "inflammation": {"crp": {"value": "Infinity", "unit": "mg/dL"}}, "cbc": {"lymphocyte_pct": 30, "mcv": {"value": 90, "unit": "fL"}, "rdw": {"value": 13, "unit": "%"}, "wbc": {"value": 6, "unit": "10^3/uL"}}, "country": "MX"}</t>
        </is>
      </c>
      <c r="E21" s="15" t="inlineStr">
        <is>
          <t>error</t>
        </is>
      </c>
      <c r="F21" s="15" t="n"/>
      <c r="G21" s="15" t="n"/>
      <c r="H21" s="15" t="n"/>
      <c r="I21" s="15" t="n"/>
      <c r="J21" s="15" t="n"/>
      <c r="K21" s="15" t="n"/>
    </row>
    <row r="22">
      <c r="A22" s="15" t="inlineStr">
        <is>
          <t>T21</t>
        </is>
      </c>
      <c r="B22" s="15" t="inlineStr">
        <is>
          <t>MX</t>
        </is>
      </c>
      <c r="C22" s="15" t="inlineStr">
        <is>
          <t>CRP zero</t>
        </is>
      </c>
      <c r="D22" s="15" t="inlineStr">
        <is>
          <t>{"age": 42, "chemistry": {"albumin": {"value": 43, "unit": "g/L"}, "creatinine": {"value": 80, "unit": "umol/L"}, "glucose": {"value": 5.2, "unit": "mmol/L"}, "alp": {"value": 70, "unit": "U/L"}}, "inflammation": {"crp": {"value": 0, "unit": "mg/dL"}}, "cbc": {"lymphocyte_pct": 30, "mcv": {"value": 90, "unit": "fL"}, "rdw": {"value": 13, "unit": "%"}, "wbc": {"value": 6, "unit": "10^3/uL"}}, "country": "MX"}</t>
        </is>
      </c>
      <c r="E22" s="15" t="inlineStr">
        <is>
          <t>error</t>
        </is>
      </c>
      <c r="F22" s="15" t="n"/>
      <c r="G22" s="15" t="n"/>
      <c r="H22" s="15" t="n"/>
      <c r="I22" s="15" t="n"/>
      <c r="J22" s="15" t="n"/>
      <c r="K22" s="15" t="n"/>
    </row>
    <row r="23">
      <c r="A23" s="15" t="inlineStr">
        <is>
          <t>T22</t>
        </is>
      </c>
      <c r="B23" s="15" t="inlineStr">
        <is>
          <t>MX</t>
        </is>
      </c>
      <c r="C23" s="15" t="inlineStr">
        <is>
          <t>Edad 19</t>
        </is>
      </c>
      <c r="D23" s="15" t="inlineStr">
        <is>
          <t>{"age": 19, "chemistry": {"albumin": {"value": 43, "unit": "g/L"}, "creatinine": {"value": 80, "unit": "umol/L"}, "glucose": {"value": 5.2, "unit": "mmol/L"}, "alp": {"value": 70, "unit": "U/L"}}, "inflammation": {"crp": {"value": 0.1, "unit": "mg/dL"}}, "cbc": {"lymphocyte_pct": 30, "mcv": {"value": 90, "unit": "fL"}, "rdw": {"value": 13, "unit": "%"}, "wbc": {"value": 6, "unit": "10^3/uL"}}, "country": "MX"}</t>
        </is>
      </c>
      <c r="E23" s="15" t="inlineStr">
        <is>
          <t>error</t>
        </is>
      </c>
      <c r="F23" s="15" t="n"/>
      <c r="G23" s="15" t="n"/>
      <c r="H23" s="15" t="n"/>
      <c r="I23" s="15" t="n"/>
      <c r="J23" s="15" t="n"/>
      <c r="K23" s="15" t="n"/>
    </row>
    <row r="24">
      <c r="A24" s="15" t="inlineStr">
        <is>
          <t>T23</t>
        </is>
      </c>
      <c r="B24" s="15" t="inlineStr">
        <is>
          <t>MX</t>
        </is>
      </c>
      <c r="C24" s="15" t="inlineStr">
        <is>
          <t>Edad 85</t>
        </is>
      </c>
      <c r="D24" s="15" t="inlineStr">
        <is>
          <t>{"age": 85, "chemistry": {"albumin": {"value": 43, "unit": "g/L"}, "creatinine": {"value": 80, "unit": "umol/L"}, "glucose": {"value": 5.2, "unit": "mmol/L"}, "alp": {"value": 70, "unit": "U/L"}}, "inflammation": {"crp": {"value": 0.1, "unit": "mg/dL"}}, "cbc": {"lymphocyte_pct": 30, "mcv": {"value": 90, "unit": "fL"}, "rdw": {"value": 13, "unit": "%"}, "wbc": {"value": 6, "unit": "10^3/uL"}}, "country": "MX"}</t>
        </is>
      </c>
      <c r="E24" s="15" t="inlineStr">
        <is>
          <t>error</t>
        </is>
      </c>
      <c r="F24" s="15" t="n"/>
      <c r="G24" s="15" t="n"/>
      <c r="H24" s="15" t="n"/>
      <c r="I24" s="15" t="n"/>
      <c r="J24" s="15" t="n"/>
      <c r="K24" s="15" t="n"/>
    </row>
    <row r="25">
      <c r="A25" s="15" t="inlineStr">
        <is>
          <t>T24</t>
        </is>
      </c>
      <c r="B25" s="15" t="inlineStr">
        <is>
          <t>MX</t>
        </is>
      </c>
      <c r="C25" s="15" t="inlineStr">
        <is>
          <t>Unidad inválida</t>
        </is>
      </c>
      <c r="D25" s="15" t="inlineStr">
        <is>
          <t>{"age": 42, "chemistry": {"albumin": {"value": 43, "unit": "oz"}, "creatinine": {"value": 80, "unit": "umol/L"}, "glucose": {"value": 5.2, "unit": "mmol/L"}, "alp": {"value": 70, "unit": "U/L"}}, "inflammation": {"crp": {"value": 0.1, "unit": "mg/dL"}}, "cbc": {"lymphocyte_pct": 30, "mcv": {"value": 90, "unit": "fL"}, "rdw": {"value": 13, "unit": "%"}, "wbc": {"value": 6, "unit": "10^3/uL"}}, "country": "MX"}</t>
        </is>
      </c>
      <c r="E25" s="15" t="inlineStr">
        <is>
          <t>error</t>
        </is>
      </c>
      <c r="F25" s="15" t="n"/>
      <c r="G25" s="15" t="n"/>
      <c r="H25" s="15" t="n"/>
      <c r="I25" s="15" t="n"/>
      <c r="J25" s="15" t="n"/>
      <c r="K25" s="15" t="n"/>
    </row>
    <row r="26">
      <c r="A26" s="15" t="inlineStr">
        <is>
          <t>T25</t>
        </is>
      </c>
      <c r="B26" s="15" t="inlineStr">
        <is>
          <t>MX</t>
        </is>
      </c>
      <c r="C26" s="15" t="inlineStr">
        <is>
          <t>Linfocitos &gt;100</t>
        </is>
      </c>
      <c r="D26" s="15" t="inlineStr">
        <is>
          <t>{"age": 42, "chemistry": {"albumin": {"value": 43, "unit": "g/L"}, "creatinine": {"value": 80, "unit": "umol/L"}, "glucose": {"value": 5.2, "unit": "mmol/L"}, "alp": {"value": 70, "unit": "U/L"}}, "inflammation": {"crp": {"value": 0.1, "unit": "mg/dL"}}, "cbc": {"lymphocyte_pct": 101, "mcv": {"value": 90, "unit": "fL"}, "rdw": {"value": 13, "unit": "%"}, "wbc": {"value": 6, "unit": "10^3/uL"}}, "country": "MX"}</t>
        </is>
      </c>
      <c r="E26" s="15" t="inlineStr">
        <is>
          <t>error</t>
        </is>
      </c>
      <c r="F26" s="15" t="n"/>
      <c r="G26" s="15" t="n"/>
      <c r="H26" s="15" t="n"/>
      <c r="I26" s="15" t="n"/>
      <c r="J26" s="15" t="n"/>
      <c r="K26" s="15" t="n"/>
    </row>
    <row r="27">
      <c r="A27" s="15" t="inlineStr">
        <is>
          <t>T26</t>
        </is>
      </c>
      <c r="B27" s="15" t="inlineStr">
        <is>
          <t>MX</t>
        </is>
      </c>
      <c r="C27" s="15" t="inlineStr">
        <is>
          <t>Creatinina extrema</t>
        </is>
      </c>
      <c r="D27" s="15" t="inlineStr">
        <is>
          <t>{"age": 42, "chemistry": {"albumin": {"value": 43, "unit": "g/L"}, "creatinine": {"value": 10000, "unit": "umol/L"}, "glucose": {"value": 5.2, "unit": "mmol/L"}, "alp": {"value": 70, "unit": "U/L"}}, "inflammation": {"crp": {"value": 0.1, "unit": "mg/dL"}}, "cbc": {"lymphocyte_pct": 30, "mcv": {"value": 90, "unit": "fL"}, "rdw": {"value": 13, "unit": "%"}, "wbc": {"value": 6, "unit": "10^3/uL"}}, "country": "MX"}</t>
        </is>
      </c>
      <c r="E27" s="15" t="inlineStr">
        <is>
          <t>ok</t>
        </is>
      </c>
      <c r="F27" s="15" t="n">
        <v>1081.796109850928</v>
      </c>
      <c r="G27" s="15" t="n">
        <v>1039.796109850928</v>
      </c>
      <c r="H27" s="15" t="n"/>
      <c r="I27" s="15" t="n"/>
      <c r="J27" s="15" t="n"/>
      <c r="K27" s="15" t="n"/>
    </row>
    <row r="28">
      <c r="A28" s="15" t="inlineStr">
        <is>
          <t>T27</t>
        </is>
      </c>
      <c r="B28" s="15" t="inlineStr">
        <is>
          <t>MX</t>
        </is>
      </c>
      <c r="C28" s="15" t="inlineStr">
        <is>
          <t>PCR muy pequeña</t>
        </is>
      </c>
      <c r="D28" s="15" t="inlineStr">
        <is>
          <t>{"age": 42, "chemistry": {"albumin": {"value": 43, "unit": "g/L"}, "creatinine": {"value": 80, "unit": "umol/L"}, "glucose": {"value": 5.2, "unit": "mmol/L"}, "alp": {"value": 70, "unit": "U/L"}}, "inflammation": {"crp": {"value": 1e-100, "unit": "mg/dL"}}, "cbc": {"lymphocyte_pct": 30, "mcv": {"value": 90, "unit": "fL"}, "rdw": {"value": 13, "unit": "%"}, "wbc": {"value": 6, "unit": "10^3/uL"}}, "country": "MX"}</t>
        </is>
      </c>
      <c r="E28" s="15" t="inlineStr">
        <is>
          <t>ok</t>
        </is>
      </c>
      <c r="F28" s="15" t="n">
        <v>-205.2221863445556</v>
      </c>
      <c r="G28" s="15" t="n">
        <v>-247.2221863445556</v>
      </c>
      <c r="H28" s="15" t="n"/>
      <c r="I28" s="15" t="n"/>
      <c r="J28" s="15" t="n"/>
      <c r="K28" s="15" t="n"/>
    </row>
    <row r="29">
      <c r="A29" s="15" t="inlineStr">
        <is>
          <t>T28</t>
        </is>
      </c>
      <c r="B29" s="15" t="inlineStr">
        <is>
          <t>MX</t>
        </is>
      </c>
      <c r="C29" s="15" t="inlineStr">
        <is>
          <t>PCR muy alta</t>
        </is>
      </c>
      <c r="D29" s="15" t="inlineStr">
        <is>
          <t>{"age": 42, "chemistry": {"albumin": {"value": 43, "unit": "g/L"}, "creatinine": {"value": 80, "unit": "umol/L"}, "glucose": {"value": 5.2, "unit": "mmol/L"}, "alp": {"value": 70, "unit": "U/L"}}, "inflammation": {"crp": {"value": 1e+100, "unit": "mg/dL"}}, "cbc": {"lymphocyte_pct": 30, "mcv": {"value": 90, "unit": "fL"}, "rdw": {"value": 13, "unit": "%"}, "wbc": {"value": 6, "unit": "10^3/uL"}}, "country": "MX"}</t>
        </is>
      </c>
      <c r="E29" s="15" t="inlineStr">
        <is>
          <t>ok</t>
        </is>
      </c>
      <c r="F29" s="15" t="n">
        <v>281.8671724228615</v>
      </c>
      <c r="G29" s="15" t="n">
        <v>239.8671724228615</v>
      </c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conditionalFormatting sqref="J2:J19">
    <cfRule type="expression" priority="1" dxfId="0">
      <formula>J2="preliminar"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0" customWidth="1" min="2" max="2"/>
    <col width="48" customWidth="1" min="3" max="3"/>
    <col width="42.13000106811523" customWidth="1" min="4" max="4"/>
    <col width="9.130000114440918" customWidth="1" min="5" max="5"/>
    <col width="7.880000114440918" customWidth="1" min="6" max="6"/>
  </cols>
  <sheetData>
    <row r="1">
      <c r="A1" s="16" t="inlineStr">
        <is>
          <t>id</t>
        </is>
      </c>
      <c r="B1" s="16" t="inlineStr">
        <is>
          <t>dato</t>
        </is>
      </c>
      <c r="C1" s="16" t="inlineStr">
        <is>
          <t>url</t>
        </is>
      </c>
      <c r="D1" s="16" t="inlineStr">
        <is>
          <t>licencia</t>
        </is>
      </c>
      <c r="E1" s="16" t="inlineStr">
        <is>
          <t>fecha</t>
        </is>
      </c>
      <c r="F1" s="16" t="inlineStr">
        <is>
          <t>estado</t>
        </is>
      </c>
      <c r="G1" s="15" t="n"/>
      <c r="H1" s="15" t="n"/>
      <c r="I1" s="15" t="n"/>
      <c r="J1" s="15" t="n"/>
      <c r="K1" s="15" t="n"/>
    </row>
    <row r="2">
      <c r="A2" s="15" t="inlineStr">
        <is>
          <t>S201</t>
        </is>
      </c>
      <c r="B2" s="15" t="inlineStr">
        <is>
          <t>Definición, desarrollo y validación de Clinical Phenotypic Age en NHANES IV</t>
        </is>
      </c>
      <c r="C2" s="15" t="inlineStr">
        <is>
          <t>https://journals.plos.org/plosmedicine/article?id=10.1371/journal.pmed.1002718</t>
        </is>
      </c>
      <c r="D2" s="15" t="inlineStr">
        <is>
          <t>CC0 (artículo PLOS Medicine)</t>
        </is>
      </c>
      <c r="E2" s="15" t="inlineStr">
        <is>
          <t>2018-12-31</t>
        </is>
      </c>
      <c r="F2" s="15" t="inlineStr">
        <is>
          <t>verificado</t>
        </is>
      </c>
      <c r="G2" s="15" t="n"/>
      <c r="H2" s="15" t="n"/>
      <c r="I2" s="15" t="n"/>
      <c r="J2" s="15" t="n"/>
      <c r="K2" s="15" t="n"/>
    </row>
    <row r="3">
      <c r="A3" s="15" t="inlineStr">
        <is>
          <t>S202</t>
        </is>
      </c>
      <c r="B3" s="15" t="inlineStr">
        <is>
          <t>Corrección de la ecuación publicada de Phenotypic Age (paso faltante; variante 0.09165)</t>
        </is>
      </c>
      <c r="C3" s="15" t="inlineStr">
        <is>
          <t>https://pmc.ncbi.nlm.nih.gov/articles/PMC6388911/</t>
        </is>
      </c>
      <c r="D3" s="15" t="inlineStr">
        <is>
          <t>CC BY</t>
        </is>
      </c>
      <c r="E3" s="15" t="inlineStr">
        <is>
          <t>2019-02-25</t>
        </is>
      </c>
      <c r="F3" s="15" t="inlineStr">
        <is>
          <t>verificado</t>
        </is>
      </c>
      <c r="G3" s="15" t="n"/>
      <c r="H3" s="15" t="n"/>
      <c r="I3" s="15" t="n"/>
      <c r="J3" s="15" t="n"/>
      <c r="K3" s="15" t="n"/>
    </row>
    <row r="4">
      <c r="A4" s="15" t="inlineStr">
        <is>
          <t>S203</t>
        </is>
      </c>
      <c r="B4" s="15" t="inlineStr">
        <is>
          <t>Implementación BioAge R actual de phenoage0; coeficientes de alta precisión y denominador 0.090165</t>
        </is>
      </c>
      <c r="C4" s="15" t="inlineStr">
        <is>
          <t>https://github.com/dayoonkwon/BioAge/blob/master/R/phenoage_calc.R</t>
        </is>
      </c>
      <c r="D4" s="15" t="inlineStr">
        <is>
          <t>GPL-3.0 (solo verificación; no se incorpora código)</t>
        </is>
      </c>
      <c r="E4" s="15" t="inlineStr">
        <is>
          <t>2026-10-13</t>
        </is>
      </c>
      <c r="F4" s="15" t="inlineStr">
        <is>
          <t>verificado</t>
        </is>
      </c>
      <c r="G4" s="15" t="n"/>
      <c r="H4" s="15" t="n"/>
      <c r="I4" s="15" t="n"/>
      <c r="J4" s="15" t="n"/>
      <c r="K4" s="15" t="n"/>
    </row>
    <row r="5">
      <c r="A5" s="15" t="inlineStr">
        <is>
          <t>S204</t>
        </is>
      </c>
      <c r="B5" s="15" t="inlineStr">
        <is>
          <t>Actividad BioAge: restauración/actualización de constante PhenoAge a 0.090165 en abril de 2026</t>
        </is>
      </c>
      <c r="C5" s="15" t="inlineStr">
        <is>
          <t>https://github.com/dayoonkwon/BioAge/activity</t>
        </is>
      </c>
      <c r="D5" s="15" t="inlineStr">
        <is>
          <t>GPL-3.0 repo; metadatos GitHub</t>
        </is>
      </c>
      <c r="E5" s="15" t="inlineStr">
        <is>
          <t>2026-04-02</t>
        </is>
      </c>
      <c r="F5" s="15" t="inlineStr">
        <is>
          <t>verificado</t>
        </is>
      </c>
      <c r="G5" s="15" t="n"/>
      <c r="H5" s="15" t="n"/>
      <c r="I5" s="15" t="n"/>
      <c r="J5" s="15" t="n"/>
      <c r="K5" s="15" t="n"/>
    </row>
    <row r="6">
      <c r="A6" s="15" t="inlineStr">
        <is>
          <t>S205</t>
        </is>
      </c>
      <c r="B6" s="15" t="inlineStr">
        <is>
          <t>Licencia y alcance del paquete BioAge; KDM, PhenoAge y homeostatic dysregulation</t>
        </is>
      </c>
      <c r="C6" s="15" t="inlineStr">
        <is>
          <t>https://github.com/dayoonkwon/BioAge/blob/master/DESCRIPTION</t>
        </is>
      </c>
      <c r="D6" s="15" t="inlineStr">
        <is>
          <t>GPL-3.0</t>
        </is>
      </c>
      <c r="E6" s="15" t="inlineStr">
        <is>
          <t>2026-10-13</t>
        </is>
      </c>
      <c r="F6" s="15" t="inlineStr">
        <is>
          <t>verificado</t>
        </is>
      </c>
      <c r="G6" s="15" t="n"/>
      <c r="H6" s="15" t="n"/>
      <c r="I6" s="15" t="n"/>
      <c r="J6" s="15" t="n"/>
      <c r="K6" s="15" t="n"/>
    </row>
    <row r="7">
      <c r="A7" s="15" t="inlineStr">
        <is>
          <t>S206</t>
        </is>
      </c>
      <c r="B7" s="15" t="inlineStr">
        <is>
          <t>Conversiones NHANES: albúmina ×10, creatinina ×88.4, glucosa ×0.05551</t>
        </is>
      </c>
      <c r="C7" s="15" t="inlineStr">
        <is>
          <t>https://wwwn.cdc.gov/Nchs/Data/Nhanes/Public/2011/DataFiles/BIOPRO_G.htm</t>
        </is>
      </c>
      <c r="D7" s="15" t="inlineStr">
        <is>
          <t>U.S. government / NHANES documentation; citar fuente</t>
        </is>
      </c>
      <c r="E7" s="15" t="inlineStr">
        <is>
          <t>2013-01-01</t>
        </is>
      </c>
      <c r="F7" s="15" t="inlineStr">
        <is>
          <t>verificado</t>
        </is>
      </c>
      <c r="G7" s="15" t="n"/>
      <c r="H7" s="15" t="n"/>
      <c r="I7" s="15" t="n"/>
      <c r="J7" s="15" t="n"/>
      <c r="K7" s="15" t="n"/>
    </row>
    <row r="8">
      <c r="A8" s="15" t="inlineStr">
        <is>
          <t>S207</t>
        </is>
      </c>
      <c r="B8" s="15" t="inlineStr">
        <is>
          <t>Unidades requeridas por PhenoAge original según mantenedor BioAge</t>
        </is>
      </c>
      <c r="C8" s="15" t="inlineStr">
        <is>
          <t>https://github.com/dayoonkwon/BioAge/discussions/35</t>
        </is>
      </c>
      <c r="D8" s="15" t="inlineStr">
        <is>
          <t>GitHub content; usar como evidencia secundaria</t>
        </is>
      </c>
      <c r="E8" s="15" t="inlineStr">
        <is>
          <t>2026-04-02</t>
        </is>
      </c>
      <c r="F8" s="15" t="inlineStr">
        <is>
          <t>verificado</t>
        </is>
      </c>
      <c r="G8" s="15" t="n"/>
      <c r="H8" s="15" t="n"/>
      <c r="I8" s="15" t="n"/>
      <c r="J8" s="15" t="n"/>
      <c r="K8" s="15" t="n"/>
    </row>
    <row r="9">
      <c r="A9" s="15" t="inlineStr">
        <is>
          <t>S208</t>
        </is>
      </c>
      <c r="B9" s="15" t="inlineStr">
        <is>
          <t>Rango de desarrollo/validación y HR de mortalidad de Phenotypic Age en NHANES IV</t>
        </is>
      </c>
      <c r="C9" s="15" t="inlineStr">
        <is>
          <t>https://pmc.ncbi.nlm.nih.gov/articles/PMC6312200/</t>
        </is>
      </c>
      <c r="D9" s="15" t="inlineStr">
        <is>
          <t>CC0 / open access</t>
        </is>
      </c>
      <c r="E9" s="15" t="inlineStr">
        <is>
          <t>2018-12-31</t>
        </is>
      </c>
      <c r="F9" s="15" t="inlineStr">
        <is>
          <t>verificado</t>
        </is>
      </c>
      <c r="G9" s="15" t="n"/>
      <c r="H9" s="15" t="n"/>
      <c r="I9" s="15" t="n"/>
      <c r="J9" s="15" t="n"/>
      <c r="K9" s="15" t="n"/>
    </row>
    <row r="10">
      <c r="A10" s="15" t="inlineStr">
        <is>
          <t>S209</t>
        </is>
      </c>
      <c r="B10" s="15" t="inlineStr">
        <is>
          <t>NHANES hs-CRP: LLOD 0.15 mg/L y tratamiento de resultados bajo límite de detección</t>
        </is>
      </c>
      <c r="C10" s="15" t="inlineStr">
        <is>
          <t>https://wwwn.cdc.gov/Nchs/Data/Nhanes/Public/2021/DataFiles/HSCRP_L.htm</t>
        </is>
      </c>
      <c r="D10" s="15" t="inlineStr">
        <is>
          <t>U.S. government / NHANES documentation; citar fuente</t>
        </is>
      </c>
      <c r="E10" s="15" t="inlineStr">
        <is>
          <t>2024-09-01</t>
        </is>
      </c>
      <c r="F10" s="15" t="inlineStr">
        <is>
          <t>verificado</t>
        </is>
      </c>
      <c r="G10" s="15" t="n"/>
      <c r="H10" s="15" t="n"/>
      <c r="I10" s="15" t="n"/>
      <c r="J10" s="15" t="n"/>
      <c r="K10" s="15" t="n"/>
    </row>
    <row r="11">
      <c r="A11" s="15" t="inlineStr">
        <is>
          <t>S210</t>
        </is>
      </c>
      <c r="B11" s="15" t="inlineStr">
        <is>
          <t>World Bank WDI: PPP conversion factor, metodología y licencia CC BY 4.0</t>
        </is>
      </c>
      <c r="C11" s="15" t="inlineStr">
        <is>
          <t>https://data.worldbank.org/indicator/PA.NUS.PPP</t>
        </is>
      </c>
      <c r="D11" s="15" t="inlineStr">
        <is>
          <t>CC BY-4.0</t>
        </is>
      </c>
      <c r="E11" s="15" t="inlineStr">
        <is>
          <t>2026-10-13</t>
        </is>
      </c>
      <c r="F11" s="15" t="inlineStr">
        <is>
          <t>verificado</t>
        </is>
      </c>
      <c r="G11" s="15" t="n"/>
      <c r="H11" s="15" t="n"/>
      <c r="I11" s="15" t="n"/>
      <c r="J11" s="15" t="n"/>
      <c r="K11" s="15" t="n"/>
    </row>
    <row r="12">
      <c r="A12" s="15" t="inlineStr">
        <is>
          <t>S211</t>
        </is>
      </c>
      <c r="B12" s="15" t="inlineStr">
        <is>
          <t>World Bank PPP 2025: España 0.57 LCU/int$, Perú 1.84; México 10.33; Brasil 2.55; Colombia 1532.72; Argentina 567.30</t>
        </is>
      </c>
      <c r="C12" s="15" t="inlineStr">
        <is>
          <t>https://wdi.worldbank.org/table/4.16</t>
        </is>
      </c>
      <c r="D12" s="15" t="inlineStr">
        <is>
          <t>CC BY-4.0</t>
        </is>
      </c>
      <c r="E12" s="15" t="inlineStr">
        <is>
          <t>2026-10-13</t>
        </is>
      </c>
      <c r="F12" s="15" t="inlineStr">
        <is>
          <t>verificado</t>
        </is>
      </c>
      <c r="G12" s="15" t="n"/>
      <c r="H12" s="15" t="n"/>
      <c r="I12" s="15" t="n"/>
      <c r="J12" s="15" t="n"/>
      <c r="K12" s="15" t="n"/>
    </row>
    <row r="13">
      <c r="A13" s="15" t="inlineStr">
        <is>
          <t>S212</t>
        </is>
      </c>
      <c r="B13" s="15" t="inlineStr">
        <is>
          <t>ComputBioAge, implementación KDM open source</t>
        </is>
      </c>
      <c r="C13" s="15" t="inlineStr">
        <is>
          <t>https://github.com/ComputationalAgingLab/ComputBioAge</t>
        </is>
      </c>
      <c r="D13" s="15" t="inlineStr">
        <is>
          <t>MIT</t>
        </is>
      </c>
      <c r="E13" s="15" t="inlineStr">
        <is>
          <t>2026-10-13</t>
        </is>
      </c>
      <c r="F13" s="15" t="inlineStr">
        <is>
          <t>verificado</t>
        </is>
      </c>
      <c r="G13" s="15" t="n"/>
      <c r="H13" s="15" t="n"/>
      <c r="I13" s="15" t="n"/>
      <c r="J13" s="15" t="n"/>
      <c r="K13" s="15" t="n"/>
    </row>
    <row r="14">
      <c r="A14" s="15" t="inlineStr">
        <is>
          <t>S213</t>
        </is>
      </c>
      <c r="B14" s="15" t="inlineStr">
        <is>
          <t>Aging.AI: DNN en analítica sanguínea; MAE 5.55 años para edad cronológica</t>
        </is>
      </c>
      <c r="C14" s="15" t="inlineStr">
        <is>
          <t>https://www.aging-us.com/article/100968/text</t>
        </is>
      </c>
      <c r="D14" s="15" t="inlineStr">
        <is>
          <t>CC BY (paper); pesos del modelo no publicados</t>
        </is>
      </c>
      <c r="E14" s="15" t="inlineStr">
        <is>
          <t>2016-05-18</t>
        </is>
      </c>
      <c r="F14" s="15" t="inlineStr">
        <is>
          <t>verificado</t>
        </is>
      </c>
      <c r="G14" s="15" t="n"/>
      <c r="H14" s="15" t="n"/>
      <c r="I14" s="15" t="n"/>
      <c r="J14" s="15" t="n"/>
      <c r="K14" s="15" t="n"/>
    </row>
    <row r="15">
      <c r="A15" s="15" t="inlineStr">
        <is>
          <t>S214</t>
        </is>
      </c>
      <c r="B15" s="15" t="inlineStr">
        <is>
          <t>NCHS Data User Agreement para archivos públicos NHANES</t>
        </is>
      </c>
      <c r="C15" s="15" t="inlineStr">
        <is>
          <t>https://www.cdc.gov/nchs/policy/data-user-agreement.html</t>
        </is>
      </c>
      <c r="D15" s="15" t="inlineStr">
        <is>
          <t>Uso sujeto a Data User Agreement NCHS</t>
        </is>
      </c>
      <c r="E15" s="15" t="inlineStr">
        <is>
          <t>2024-09-17</t>
        </is>
      </c>
      <c r="F15" s="15" t="inlineStr">
        <is>
          <t>verificado</t>
        </is>
      </c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conditionalFormatting sqref="F2:F15">
    <cfRule type="expression" priority="1" dxfId="0">
      <formula>F2="preliminar"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7.130000114440918" customWidth="1" min="4" max="4"/>
  </cols>
  <sheetData>
    <row r="1">
      <c r="A1" s="16" t="inlineStr">
        <is>
          <t>versión</t>
        </is>
      </c>
      <c r="B1" s="16" t="inlineStr">
        <is>
          <t>fecha</t>
        </is>
      </c>
      <c r="C1" s="16" t="inlineStr">
        <is>
          <t>cambio</t>
        </is>
      </c>
      <c r="D1" s="16" t="inlineStr">
        <is>
          <t>autor</t>
        </is>
      </c>
      <c r="E1" s="15" t="n"/>
      <c r="F1" s="15" t="n"/>
      <c r="G1" s="15" t="n"/>
      <c r="H1" s="15" t="n"/>
      <c r="I1" s="15" t="n"/>
      <c r="J1" s="15" t="n"/>
      <c r="K1" s="15" t="n"/>
    </row>
    <row r="2">
      <c r="A2" s="15" t="inlineStr">
        <is>
          <t>2.0.0</t>
        </is>
      </c>
      <c r="B2" s="15" t="inlineStr">
        <is>
          <t>2026-10-13</t>
        </is>
      </c>
      <c r="C2" s="15" t="inlineStr">
        <is>
          <t>Etapa 2: fórmula canónica 0.090165, escenario 0.09165, conversiones, motor, pricing PPP, fuentes y QA.</t>
        </is>
      </c>
      <c r="D2" s="15" t="inlineStr">
        <is>
          <t>Agente 2</t>
        </is>
      </c>
      <c r="E2" s="15" t="n"/>
      <c r="F2" s="15" t="n"/>
      <c r="G2" s="15" t="n"/>
      <c r="H2" s="15" t="n"/>
      <c r="I2" s="15" t="n"/>
      <c r="J2" s="15" t="n"/>
      <c r="K2" s="15" t="n"/>
    </row>
    <row r="3">
      <c r="A3" s="15" t="inlineStr">
        <is>
          <t>3.0.0</t>
        </is>
      </c>
      <c r="B3" s="15" t="inlineStr">
        <is>
          <t>2026-10-13</t>
        </is>
      </c>
      <c r="C3" s="15" t="inlineStr">
        <is>
          <t>QA: estabilidad en espacio logarítmico, 10 vectores adversariales y auditoría UX.</t>
        </is>
      </c>
      <c r="D3" s="15" t="inlineStr">
        <is>
          <t>Agente 3</t>
        </is>
      </c>
      <c r="E3" s="15" t="n"/>
      <c r="F3" s="15" t="n"/>
      <c r="G3" s="15" t="n"/>
      <c r="H3" s="15" t="n"/>
      <c r="I3" s="15" t="n"/>
      <c r="J3" s="15" t="n"/>
      <c r="K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2026-10-13T21:29:59Z</dcterms:created>
  <dcterms:modified xmlns:dcterms="http://purl.org/dc/terms/" xmlns:xsi="http://www.w3.org/2001/XMLSchema-instance" xsi:type="dcterms:W3CDTF">2026-10-13T21:29:59Z</dcterms:modified>
</cp:coreProperties>
</file>